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hidePivotFieldList="1" defaultThemeVersion="166925"/>
  <mc:AlternateContent xmlns:mc="http://schemas.openxmlformats.org/markup-compatibility/2006">
    <mc:Choice Requires="x15">
      <x15ac:absPath xmlns:x15ac="http://schemas.microsoft.com/office/spreadsheetml/2010/11/ac" url="/Users/aset/Downloads/"/>
    </mc:Choice>
  </mc:AlternateContent>
  <xr:revisionPtr revIDLastSave="0" documentId="13_ncr:1_{102F9E28-48A8-E343-B919-AC8B695EE2DA}" xr6:coauthVersionLast="47" xr6:coauthVersionMax="47" xr10:uidLastSave="{00000000-0000-0000-0000-000000000000}"/>
  <bookViews>
    <workbookView xWindow="14000" yWindow="760" windowWidth="16240" windowHeight="12460"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tial_Status">#N/A</definedName>
    <definedName name="Slicer_Region">#N/A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 r="M1010" i="2"/>
</calcChain>
</file>

<file path=xl/sharedStrings.xml><?xml version="1.0" encoding="utf-8"?>
<sst xmlns="http://schemas.openxmlformats.org/spreadsheetml/2006/main" count="16278" uniqueCount="55">
  <si>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</si>
  <si>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</si>
  <si>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</si>
  <si>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</si>
  <si>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</si>
  <si>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</si>
  <si>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</si>
  <si>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</si>
  <si>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</si>
  <si>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</si>
  <si>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</si>
  <si>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</si>
  <si>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</si>
  <si>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</si>
  <si>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</si>
  <si>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</si>
  <si>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</si>
  <si>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</si>
  <si>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</si>
  <si>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</si>
  <si>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</si>
  <si>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</si>
  <si>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</si>
  <si>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</si>
  <si>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</si>
  <si>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</si>
  <si>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</si>
  <si>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</si>
  <si>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</si>
  <si>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</si>
  <si>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</si>
  <si>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</si>
  <si>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</si>
  <si>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</si>
  <si>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</si>
  <si>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</si>
  <si>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</si>
  <si>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</si>
  <si>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</si>
  <si>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</si>
  <si>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</si>
  <si>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Martial Status</t>
  </si>
  <si>
    <t>Row Labels</t>
  </si>
  <si>
    <t>Grand Total</t>
  </si>
  <si>
    <t>Average of Income</t>
  </si>
  <si>
    <t>Column Labels</t>
  </si>
  <si>
    <t>Count of Purchased Bike</t>
  </si>
  <si>
    <t>More than 10 Miles</t>
  </si>
  <si>
    <t>Middle Age</t>
  </si>
  <si>
    <t>Old</t>
  </si>
  <si>
    <t>Total Sum of Age</t>
  </si>
  <si>
    <t>Total Count of Purchased Bike</t>
  </si>
  <si>
    <t>Sum of Age</t>
  </si>
  <si>
    <t>Adolescent</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</si>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</sst>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_(&quot;$&quot;* #,##0_);_(&quot;$&quot;* \(#,##0\);_(&quot;$&quot;*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3"/>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42" applyNumberFormat="1"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0" borderId="1" xfId="2" applyFont="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[excel-bike-sales-dasboard.xlsx]Pivot Table!PivotTable1</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Table'!$A$5:$A$7</c:f>
              <c:strCache>
                <c:ptCount val="2"/>
                <c:pt idx="0">
                  <c:v>Female</c:v>
                </c:pt>
                <c:pt idx="1">
                  <c:v>Male</c:v>
                </c:pt>
              </c:strCache>
            </c:strRef>
          </c:cat>
          <c:val>
            <c:numRef>
              <c:f>'Pivot Table'!$B$5:$B$7</c:f>
              <c:numCache>
                <c:formatCode>_("$"* #,##0_);_("$"* \(#,##0\);_("$"* "-"??_);_(@_)</c:formatCode>
                <c:ptCount val="2"/>
                <c:pt idx="0">
                  <c:v>76153.846153846156</c:v>
                </c:pt>
                <c:pt idx="1">
                  <c:v>82222.222222222219</c:v>
                </c:pt>
              </c:numCache>
            </c:numRef>
          </c:val>
          <c:extLst>
            <c:ext xmlns:c16="http://schemas.microsoft.com/office/drawing/2014/chart" uri="{C3380CC4-5D6E-409C-BE32-E72D297353CC}">
              <c16:uniqueId val="{00000000-EF58-B242-BE60-B62E85C79AD0}"/>
            </c:ext>
          </c:extLst>
        </c:ser>
        <c:ser>
          <c:idx val="1"/>
          <c:order val="1"/>
          <c:tx>
            <c:strRef>
              <c:f>'Pivot Table'!$C$3:$C$4</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Table'!$A$5:$A$7</c:f>
              <c:strCache>
                <c:ptCount val="2"/>
                <c:pt idx="0">
                  <c:v>Female</c:v>
                </c:pt>
                <c:pt idx="1">
                  <c:v>Male</c:v>
                </c:pt>
              </c:strCache>
            </c:strRef>
          </c:cat>
          <c:val>
            <c:numRef>
              <c:f>'Pivot Table'!$C$5:$C$7</c:f>
              <c:numCache>
                <c:formatCode>_("$"* #,##0_);_("$"* \(#,##0\);_("$"* "-"??_);_(@_)</c:formatCode>
                <c:ptCount val="2"/>
                <c:pt idx="0">
                  <c:v>70869.565217391311</c:v>
                </c:pt>
                <c:pt idx="1">
                  <c:v>73333.333333333328</c:v>
                </c:pt>
              </c:numCache>
            </c:numRef>
          </c:val>
          <c:extLst>
            <c:ext xmlns:c16="http://schemas.microsoft.com/office/drawing/2014/chart" uri="{C3380CC4-5D6E-409C-BE32-E72D297353CC}">
              <c16:uniqueId val="{00000001-EF58-B242-BE60-B62E85C79AD0}"/>
            </c:ext>
          </c:extLst>
        </c:ser>
        <c:dLbls>
          <c:dLblPos val="inEnd"/>
          <c:showLegendKey val="0"/>
          <c:showVal val="1"/>
          <c:showCatName val="0"/>
          <c:showSerName val="0"/>
          <c:showPercent val="0"/>
          <c:showBubbleSize val="0"/>
        </c:dLbls>
        <c:gapWidth val="65"/>
        <c:axId val="649539824"/>
        <c:axId val="649541536"/>
      </c:barChart>
      <c:catAx>
        <c:axId val="64953982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Gender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49541536"/>
        <c:crosses val="autoZero"/>
        <c:auto val="1"/>
        <c:lblAlgn val="ctr"/>
        <c:lblOffset val="100"/>
        <c:noMultiLvlLbl val="0"/>
      </c:catAx>
      <c:valAx>
        <c:axId val="64954153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_(&quot;$&quot;* #,##0_);_(&quot;$&quot;* \(#,##0\);_(&quot;$&quot;* &quot;-&quot;??_);_(@_)" sourceLinked="1"/>
        <c:majorTickMark val="none"/>
        <c:minorTickMark val="none"/>
        <c:tickLblPos val="nextTo"/>
        <c:crossAx val="649539824"/>
        <c:crosses val="autoZero"/>
        <c:crossBetween val="between"/>
      </c:valAx>
      <c:dTable>
        <c:showHorzBorder val="1"/>
        <c:showVertBorder val="1"/>
        <c:showOutline val="1"/>
        <c:showKeys val="0"/>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[excel-bike-sales-dasboard.xlsx]Pivot Table!PivotTable2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8</c:v>
                </c:pt>
                <c:pt idx="1">
                  <c:v>3</c:v>
                </c:pt>
                <c:pt idx="2">
                  <c:v>5</c:v>
                </c:pt>
                <c:pt idx="3">
                  <c:v>1</c:v>
                </c:pt>
                <c:pt idx="4">
                  <c:v>5</c:v>
                </c:pt>
              </c:numCache>
            </c:numRef>
          </c:val>
          <c:smooth val="0"/>
          <c:extLst>
            <c:ext xmlns:c16="http://schemas.microsoft.com/office/drawing/2014/chart" uri="{C3380CC4-5D6E-409C-BE32-E72D297353CC}">
              <c16:uniqueId val="{00000000-B295-5843-A97D-A14547A19672}"/>
            </c:ext>
          </c:extLst>
        </c:ser>
        <c:ser>
          <c:idx val="1"/>
          <c:order val="1"/>
          <c:tx>
            <c:strRef>
              <c:f>'Pivot Table'!$C$21:$C$22</c:f>
              <c:strCache>
                <c:ptCount val="1"/>
                <c:pt idx="0">
                  <c:v>Yes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15</c:v>
                </c:pt>
                <c:pt idx="1">
                  <c:v>4</c:v>
                </c:pt>
                <c:pt idx="2">
                  <c:v>22</c:v>
                </c:pt>
                <c:pt idx="3">
                  <c:v>2</c:v>
                </c:pt>
                <c:pt idx="4">
                  <c:v>4</c:v>
                </c:pt>
              </c:numCache>
            </c:numRef>
          </c:val>
          <c:smooth val="0"/>
          <c:extLst>
            <c:ext xmlns:c16="http://schemas.microsoft.com/office/drawing/2014/chart" uri="{C3380CC4-5D6E-409C-BE32-E72D297353CC}">
              <c16:uniqueId val="{00000001-B295-5843-A97D-A14547A19672}"/>
            </c:ext>
          </c:extLst>
        </c:ser>
        <c:dLbls>
          <c:dLblPos val="ctr"/>
          <c:showLegendKey val="0"/>
          <c:showVal val="1"/>
          <c:showCatName val="0"/>
          <c:showSerName val="0"/>
          <c:showPercent val="0"/>
          <c:showBubbleSize val="0"/>
        </c:dLbls>
        <c:marker val="1"/>
        <c:smooth val="0"/>
        <c:axId val="510073152"/>
        <c:axId val="510150320"/>
      </c:lineChart>
      <c:catAx>
        <c:axId val="51007315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Commute DIstance </a:t>
                </a:r>
              </a:p>
              <a:p>
                <a:pPr>
                  <a:defRPr/>
                </a:pP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10150320"/>
        <c:crosses val="autoZero"/>
        <c:auto val="1"/>
        <c:lblAlgn val="ctr"/>
        <c:lblOffset val="100"/>
        <c:noMultiLvlLbl val="0"/>
      </c:catAx>
      <c:valAx>
        <c:axId val="51015032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1007315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[excel-bike-sales-dasboard.xlsx]Pivot Table!PivotTable3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Table'!$A$39:$A$42</c:f>
              <c:strCache>
                <c:ptCount val="3"/>
                <c:pt idx="0">
                  <c:v>Adolescent</c:v>
                </c:pt>
                <c:pt idx="1">
                  <c:v>Middle Age</c:v>
                </c:pt>
                <c:pt idx="2">
                  <c:v>Old</c:v>
                </c:pt>
              </c:strCache>
            </c:strRef>
          </c:cat>
          <c:val>
            <c:numRef>
              <c:f>'Pivot Table'!$B$39:$B$42</c:f>
              <c:numCache>
                <c:formatCode>General</c:formatCode>
                <c:ptCount val="3"/>
                <c:pt idx="0">
                  <c:v>1</c:v>
                </c:pt>
                <c:pt idx="1">
                  <c:v>15</c:v>
                </c:pt>
                <c:pt idx="2">
                  <c:v>6</c:v>
                </c:pt>
              </c:numCache>
            </c:numRef>
          </c:val>
          <c:smooth val="0"/>
          <c:extLst>
            <c:ext xmlns:c16="http://schemas.microsoft.com/office/drawing/2014/chart" uri="{C3380CC4-5D6E-409C-BE32-E72D297353CC}">
              <c16:uniqueId val="{00000000-D054-5447-ADDB-5F3ADB63234A}"/>
            </c:ext>
          </c:extLst>
        </c:ser>
        <c:ser>
          <c:idx val="1"/>
          <c:order val="1"/>
          <c:tx>
            <c:strRef>
              <c:f>'Pivot Table'!$C$37:$C$38</c:f>
              <c:strCache>
                <c:ptCount val="1"/>
                <c:pt idx="0">
                  <c:v>Yes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Table'!$A$39:$A$42</c:f>
              <c:strCache>
                <c:ptCount val="3"/>
                <c:pt idx="0">
                  <c:v>Adolescent</c:v>
                </c:pt>
                <c:pt idx="1">
                  <c:v>Middle Age</c:v>
                </c:pt>
                <c:pt idx="2">
                  <c:v>Old</c:v>
                </c:pt>
              </c:strCache>
            </c:strRef>
          </c:cat>
          <c:val>
            <c:numRef>
              <c:f>'Pivot Table'!$C$39:$C$42</c:f>
              <c:numCache>
                <c:formatCode>General</c:formatCode>
                <c:ptCount val="3"/>
                <c:pt idx="1">
                  <c:v>39</c:v>
                </c:pt>
                <c:pt idx="2">
                  <c:v>8</c:v>
                </c:pt>
              </c:numCache>
            </c:numRef>
          </c:val>
          <c:smooth val="0"/>
          <c:extLst>
            <c:ext xmlns:c16="http://schemas.microsoft.com/office/drawing/2014/chart" uri="{C3380CC4-5D6E-409C-BE32-E72D297353CC}">
              <c16:uniqueId val="{00000001-D054-5447-ADDB-5F3ADB63234A}"/>
            </c:ext>
          </c:extLst>
        </c:ser>
        <c:dLbls>
          <c:dLblPos val="ctr"/>
          <c:showLegendKey val="0"/>
          <c:showVal val="1"/>
          <c:showCatName val="0"/>
          <c:showSerName val="0"/>
          <c:showPercent val="0"/>
          <c:showBubbleSize val="0"/>
        </c:dLbls>
        <c:marker val="1"/>
        <c:smooth val="0"/>
        <c:axId val="650494960"/>
        <c:axId val="650496672"/>
      </c:lineChart>
      <c:catAx>
        <c:axId val="65049496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50496672"/>
        <c:crosses val="autoZero"/>
        <c:auto val="1"/>
        <c:lblAlgn val="ctr"/>
        <c:lblOffset val="100"/>
        <c:noMultiLvlLbl val="0"/>
      </c:catAx>
      <c:valAx>
        <c:axId val="6504966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5049496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[excel-bike-sales-dasboard.xlsx]Pivot Table!PivotTable4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s>
    <c:plotArea>
      <c:layout/>
      <c:lineChart>
        <c:grouping val="stacked"/>
        <c:varyColors val="0"/>
        <c:ser>
          <c:idx val="0"/>
          <c:order val="0"/>
          <c:tx>
            <c:strRef>
              <c:f>'Pivot Table'!$B$53:$B$55</c:f>
              <c:strCache>
                <c:ptCount val="1"/>
                <c:pt idx="0">
                  <c:v>No - Sum of Age</c:v>
                </c:pt>
              </c:strCache>
            </c:strRef>
          </c:tx>
          <c:spPr>
            <a:ln w="28575" cap="rnd">
              <a:solidFill>
                <a:schemeClr val="accent1"/>
              </a:solidFill>
              <a:round/>
            </a:ln>
            <a:effectLst/>
          </c:spPr>
          <c:marker>
            <c:symbol val="none"/>
          </c:marker>
          <c:cat>
            <c:strRef>
              <c:f>'Pivot Table'!$A$56:$A$78</c:f>
              <c:strCache>
                <c:ptCount val="22"/>
                <c:pt idx="0">
                  <c:v>30</c:v>
                </c:pt>
                <c:pt idx="1">
                  <c:v>34</c:v>
                </c:pt>
                <c:pt idx="2">
                  <c:v>36</c:v>
                </c:pt>
                <c:pt idx="3">
                  <c:v>37</c:v>
                </c:pt>
                <c:pt idx="4">
                  <c:v>38</c:v>
                </c:pt>
                <c:pt idx="5">
                  <c:v>39</c:v>
                </c:pt>
                <c:pt idx="6">
                  <c:v>40</c:v>
                </c:pt>
                <c:pt idx="7">
                  <c:v>41</c:v>
                </c:pt>
                <c:pt idx="8">
                  <c:v>42</c:v>
                </c:pt>
                <c:pt idx="9">
                  <c:v>43</c:v>
                </c:pt>
                <c:pt idx="10">
                  <c:v>44</c:v>
                </c:pt>
                <c:pt idx="11">
                  <c:v>45</c:v>
                </c:pt>
                <c:pt idx="12">
                  <c:v>47</c:v>
                </c:pt>
                <c:pt idx="13">
                  <c:v>57</c:v>
                </c:pt>
                <c:pt idx="14">
                  <c:v>58</c:v>
                </c:pt>
                <c:pt idx="15">
                  <c:v>59</c:v>
                </c:pt>
                <c:pt idx="16">
                  <c:v>60</c:v>
                </c:pt>
                <c:pt idx="17">
                  <c:v>61</c:v>
                </c:pt>
                <c:pt idx="18">
                  <c:v>62</c:v>
                </c:pt>
                <c:pt idx="19">
                  <c:v>63</c:v>
                </c:pt>
                <c:pt idx="20">
                  <c:v>66</c:v>
                </c:pt>
                <c:pt idx="21">
                  <c:v>67</c:v>
                </c:pt>
              </c:strCache>
            </c:strRef>
          </c:cat>
          <c:val>
            <c:numRef>
              <c:f>'Pivot Table'!$B$56:$B$78</c:f>
              <c:numCache>
                <c:formatCode>General</c:formatCode>
                <c:ptCount val="22"/>
                <c:pt idx="0">
                  <c:v>30</c:v>
                </c:pt>
                <c:pt idx="2">
                  <c:v>36</c:v>
                </c:pt>
                <c:pt idx="4">
                  <c:v>76</c:v>
                </c:pt>
                <c:pt idx="6">
                  <c:v>120</c:v>
                </c:pt>
                <c:pt idx="8">
                  <c:v>168</c:v>
                </c:pt>
                <c:pt idx="9">
                  <c:v>43</c:v>
                </c:pt>
                <c:pt idx="10">
                  <c:v>88</c:v>
                </c:pt>
                <c:pt idx="11">
                  <c:v>90</c:v>
                </c:pt>
                <c:pt idx="13">
                  <c:v>57</c:v>
                </c:pt>
                <c:pt idx="14">
                  <c:v>58</c:v>
                </c:pt>
                <c:pt idx="15">
                  <c:v>59</c:v>
                </c:pt>
                <c:pt idx="17">
                  <c:v>61</c:v>
                </c:pt>
                <c:pt idx="19">
                  <c:v>63</c:v>
                </c:pt>
                <c:pt idx="21">
                  <c:v>67</c:v>
                </c:pt>
              </c:numCache>
            </c:numRef>
          </c:val>
          <c:smooth val="0"/>
          <c:extLst>
            <c:ext xmlns:c16="http://schemas.microsoft.com/office/drawing/2014/chart" uri="{C3380CC4-5D6E-409C-BE32-E72D297353CC}">
              <c16:uniqueId val="{00000000-25C6-D142-BFD1-45678B5FAB00}"/>
            </c:ext>
          </c:extLst>
        </c:ser>
        <c:ser>
          <c:idx val="1"/>
          <c:order val="1"/>
          <c:tx>
            <c:strRef>
              <c:f>'Pivot Table'!$C$53:$C$55</c:f>
              <c:strCache>
                <c:ptCount val="1"/>
                <c:pt idx="0">
                  <c:v>No - Count of Purchased Bike</c:v>
                </c:pt>
              </c:strCache>
            </c:strRef>
          </c:tx>
          <c:spPr>
            <a:ln w="28575" cap="rnd">
              <a:solidFill>
                <a:schemeClr val="accent2"/>
              </a:solidFill>
              <a:round/>
            </a:ln>
            <a:effectLst/>
          </c:spPr>
          <c:marker>
            <c:symbol val="none"/>
          </c:marker>
          <c:cat>
            <c:strRef>
              <c:f>'Pivot Table'!$A$56:$A$78</c:f>
              <c:strCache>
                <c:ptCount val="22"/>
                <c:pt idx="0">
                  <c:v>30</c:v>
                </c:pt>
                <c:pt idx="1">
                  <c:v>34</c:v>
                </c:pt>
                <c:pt idx="2">
                  <c:v>36</c:v>
                </c:pt>
                <c:pt idx="3">
                  <c:v>37</c:v>
                </c:pt>
                <c:pt idx="4">
                  <c:v>38</c:v>
                </c:pt>
                <c:pt idx="5">
                  <c:v>39</c:v>
                </c:pt>
                <c:pt idx="6">
                  <c:v>40</c:v>
                </c:pt>
                <c:pt idx="7">
                  <c:v>41</c:v>
                </c:pt>
                <c:pt idx="8">
                  <c:v>42</c:v>
                </c:pt>
                <c:pt idx="9">
                  <c:v>43</c:v>
                </c:pt>
                <c:pt idx="10">
                  <c:v>44</c:v>
                </c:pt>
                <c:pt idx="11">
                  <c:v>45</c:v>
                </c:pt>
                <c:pt idx="12">
                  <c:v>47</c:v>
                </c:pt>
                <c:pt idx="13">
                  <c:v>57</c:v>
                </c:pt>
                <c:pt idx="14">
                  <c:v>58</c:v>
                </c:pt>
                <c:pt idx="15">
                  <c:v>59</c:v>
                </c:pt>
                <c:pt idx="16">
                  <c:v>60</c:v>
                </c:pt>
                <c:pt idx="17">
                  <c:v>61</c:v>
                </c:pt>
                <c:pt idx="18">
                  <c:v>62</c:v>
                </c:pt>
                <c:pt idx="19">
                  <c:v>63</c:v>
                </c:pt>
                <c:pt idx="20">
                  <c:v>66</c:v>
                </c:pt>
                <c:pt idx="21">
                  <c:v>67</c:v>
                </c:pt>
              </c:strCache>
            </c:strRef>
          </c:cat>
          <c:val>
            <c:numRef>
              <c:f>'Pivot Table'!$C$56:$C$78</c:f>
              <c:numCache>
                <c:formatCode>General</c:formatCode>
                <c:ptCount val="22"/>
                <c:pt idx="0">
                  <c:v>1</c:v>
                </c:pt>
                <c:pt idx="2">
                  <c:v>1</c:v>
                </c:pt>
                <c:pt idx="4">
                  <c:v>2</c:v>
                </c:pt>
                <c:pt idx="6">
                  <c:v>3</c:v>
                </c:pt>
                <c:pt idx="8">
                  <c:v>4</c:v>
                </c:pt>
                <c:pt idx="9">
                  <c:v>1</c:v>
                </c:pt>
                <c:pt idx="10">
                  <c:v>2</c:v>
                </c:pt>
                <c:pt idx="11">
                  <c:v>2</c:v>
                </c:pt>
                <c:pt idx="13">
                  <c:v>1</c:v>
                </c:pt>
                <c:pt idx="14">
                  <c:v>1</c:v>
                </c:pt>
                <c:pt idx="15">
                  <c:v>1</c:v>
                </c:pt>
                <c:pt idx="17">
                  <c:v>1</c:v>
                </c:pt>
                <c:pt idx="19">
                  <c:v>1</c:v>
                </c:pt>
                <c:pt idx="21">
                  <c:v>1</c:v>
                </c:pt>
              </c:numCache>
            </c:numRef>
          </c:val>
          <c:smooth val="0"/>
          <c:extLst>
            <c:ext xmlns:c16="http://schemas.microsoft.com/office/drawing/2014/chart" uri="{C3380CC4-5D6E-409C-BE32-E72D297353CC}">
              <c16:uniqueId val="{00000001-25C6-D142-BFD1-45678B5FAB00}"/>
            </c:ext>
          </c:extLst>
        </c:ser>
        <c:ser>
          <c:idx val="2"/>
          <c:order val="2"/>
          <c:tx>
            <c:strRef>
              <c:f>'Pivot Table'!$D$53:$D$55</c:f>
              <c:strCache>
                <c:ptCount val="1"/>
                <c:pt idx="0">
                  <c:v>Yes - Sum of Age</c:v>
                </c:pt>
              </c:strCache>
            </c:strRef>
          </c:tx>
          <c:spPr>
            <a:ln w="28575" cap="rnd">
              <a:solidFill>
                <a:schemeClr val="accent3"/>
              </a:solidFill>
              <a:round/>
            </a:ln>
            <a:effectLst/>
          </c:spPr>
          <c:marker>
            <c:symbol val="none"/>
          </c:marker>
          <c:cat>
            <c:strRef>
              <c:f>'Pivot Table'!$A$56:$A$78</c:f>
              <c:strCache>
                <c:ptCount val="22"/>
                <c:pt idx="0">
                  <c:v>30</c:v>
                </c:pt>
                <c:pt idx="1">
                  <c:v>34</c:v>
                </c:pt>
                <c:pt idx="2">
                  <c:v>36</c:v>
                </c:pt>
                <c:pt idx="3">
                  <c:v>37</c:v>
                </c:pt>
                <c:pt idx="4">
                  <c:v>38</c:v>
                </c:pt>
                <c:pt idx="5">
                  <c:v>39</c:v>
                </c:pt>
                <c:pt idx="6">
                  <c:v>40</c:v>
                </c:pt>
                <c:pt idx="7">
                  <c:v>41</c:v>
                </c:pt>
                <c:pt idx="8">
                  <c:v>42</c:v>
                </c:pt>
                <c:pt idx="9">
                  <c:v>43</c:v>
                </c:pt>
                <c:pt idx="10">
                  <c:v>44</c:v>
                </c:pt>
                <c:pt idx="11">
                  <c:v>45</c:v>
                </c:pt>
                <c:pt idx="12">
                  <c:v>47</c:v>
                </c:pt>
                <c:pt idx="13">
                  <c:v>57</c:v>
                </c:pt>
                <c:pt idx="14">
                  <c:v>58</c:v>
                </c:pt>
                <c:pt idx="15">
                  <c:v>59</c:v>
                </c:pt>
                <c:pt idx="16">
                  <c:v>60</c:v>
                </c:pt>
                <c:pt idx="17">
                  <c:v>61</c:v>
                </c:pt>
                <c:pt idx="18">
                  <c:v>62</c:v>
                </c:pt>
                <c:pt idx="19">
                  <c:v>63</c:v>
                </c:pt>
                <c:pt idx="20">
                  <c:v>66</c:v>
                </c:pt>
                <c:pt idx="21">
                  <c:v>67</c:v>
                </c:pt>
              </c:strCache>
            </c:strRef>
          </c:cat>
          <c:val>
            <c:numRef>
              <c:f>'Pivot Table'!$D$56:$D$78</c:f>
              <c:numCache>
                <c:formatCode>General</c:formatCode>
                <c:ptCount val="22"/>
                <c:pt idx="1">
                  <c:v>34</c:v>
                </c:pt>
                <c:pt idx="2">
                  <c:v>72</c:v>
                </c:pt>
                <c:pt idx="3">
                  <c:v>222</c:v>
                </c:pt>
                <c:pt idx="4">
                  <c:v>304</c:v>
                </c:pt>
                <c:pt idx="5">
                  <c:v>78</c:v>
                </c:pt>
                <c:pt idx="6">
                  <c:v>160</c:v>
                </c:pt>
                <c:pt idx="7">
                  <c:v>246</c:v>
                </c:pt>
                <c:pt idx="8">
                  <c:v>126</c:v>
                </c:pt>
                <c:pt idx="9">
                  <c:v>129</c:v>
                </c:pt>
                <c:pt idx="10">
                  <c:v>44</c:v>
                </c:pt>
                <c:pt idx="11">
                  <c:v>45</c:v>
                </c:pt>
                <c:pt idx="12">
                  <c:v>94</c:v>
                </c:pt>
                <c:pt idx="14">
                  <c:v>58</c:v>
                </c:pt>
                <c:pt idx="15">
                  <c:v>177</c:v>
                </c:pt>
                <c:pt idx="16">
                  <c:v>120</c:v>
                </c:pt>
                <c:pt idx="18">
                  <c:v>62</c:v>
                </c:pt>
                <c:pt idx="20">
                  <c:v>66</c:v>
                </c:pt>
              </c:numCache>
            </c:numRef>
          </c:val>
          <c:smooth val="0"/>
          <c:extLst>
            <c:ext xmlns:c16="http://schemas.microsoft.com/office/drawing/2014/chart" uri="{C3380CC4-5D6E-409C-BE32-E72D297353CC}">
              <c16:uniqueId val="{00000002-25C6-D142-BFD1-45678B5FAB00}"/>
            </c:ext>
          </c:extLst>
        </c:ser>
        <c:ser>
          <c:idx val="3"/>
          <c:order val="3"/>
          <c:tx>
            <c:strRef>
              <c:f>'Pivot Table'!$E$53:$E$55</c:f>
              <c:strCache>
                <c:ptCount val="1"/>
                <c:pt idx="0">
                  <c:v>Yes - Count of Purchased Bike</c:v>
                </c:pt>
              </c:strCache>
            </c:strRef>
          </c:tx>
          <c:spPr>
            <a:ln w="28575" cap="rnd">
              <a:solidFill>
                <a:schemeClr val="accent4"/>
              </a:solidFill>
              <a:round/>
            </a:ln>
            <a:effectLst/>
          </c:spPr>
          <c:marker>
            <c:symbol val="none"/>
          </c:marker>
          <c:cat>
            <c:strRef>
              <c:f>'Pivot Table'!$A$56:$A$78</c:f>
              <c:strCache>
                <c:ptCount val="22"/>
                <c:pt idx="0">
                  <c:v>30</c:v>
                </c:pt>
                <c:pt idx="1">
                  <c:v>34</c:v>
                </c:pt>
                <c:pt idx="2">
                  <c:v>36</c:v>
                </c:pt>
                <c:pt idx="3">
                  <c:v>37</c:v>
                </c:pt>
                <c:pt idx="4">
                  <c:v>38</c:v>
                </c:pt>
                <c:pt idx="5">
                  <c:v>39</c:v>
                </c:pt>
                <c:pt idx="6">
                  <c:v>40</c:v>
                </c:pt>
                <c:pt idx="7">
                  <c:v>41</c:v>
                </c:pt>
                <c:pt idx="8">
                  <c:v>42</c:v>
                </c:pt>
                <c:pt idx="9">
                  <c:v>43</c:v>
                </c:pt>
                <c:pt idx="10">
                  <c:v>44</c:v>
                </c:pt>
                <c:pt idx="11">
                  <c:v>45</c:v>
                </c:pt>
                <c:pt idx="12">
                  <c:v>47</c:v>
                </c:pt>
                <c:pt idx="13">
                  <c:v>57</c:v>
                </c:pt>
                <c:pt idx="14">
                  <c:v>58</c:v>
                </c:pt>
                <c:pt idx="15">
                  <c:v>59</c:v>
                </c:pt>
                <c:pt idx="16">
                  <c:v>60</c:v>
                </c:pt>
                <c:pt idx="17">
                  <c:v>61</c:v>
                </c:pt>
                <c:pt idx="18">
                  <c:v>62</c:v>
                </c:pt>
                <c:pt idx="19">
                  <c:v>63</c:v>
                </c:pt>
                <c:pt idx="20">
                  <c:v>66</c:v>
                </c:pt>
                <c:pt idx="21">
                  <c:v>67</c:v>
                </c:pt>
              </c:strCache>
            </c:strRef>
          </c:cat>
          <c:val>
            <c:numRef>
              <c:f>'Pivot Table'!$E$56:$E$78</c:f>
              <c:numCache>
                <c:formatCode>General</c:formatCode>
                <c:ptCount val="22"/>
                <c:pt idx="1">
                  <c:v>1</c:v>
                </c:pt>
                <c:pt idx="2">
                  <c:v>2</c:v>
                </c:pt>
                <c:pt idx="3">
                  <c:v>6</c:v>
                </c:pt>
                <c:pt idx="4">
                  <c:v>8</c:v>
                </c:pt>
                <c:pt idx="5">
                  <c:v>2</c:v>
                </c:pt>
                <c:pt idx="6">
                  <c:v>4</c:v>
                </c:pt>
                <c:pt idx="7">
                  <c:v>6</c:v>
                </c:pt>
                <c:pt idx="8">
                  <c:v>3</c:v>
                </c:pt>
                <c:pt idx="9">
                  <c:v>3</c:v>
                </c:pt>
                <c:pt idx="10">
                  <c:v>1</c:v>
                </c:pt>
                <c:pt idx="11">
                  <c:v>1</c:v>
                </c:pt>
                <c:pt idx="12">
                  <c:v>2</c:v>
                </c:pt>
                <c:pt idx="14">
                  <c:v>1</c:v>
                </c:pt>
                <c:pt idx="15">
                  <c:v>3</c:v>
                </c:pt>
                <c:pt idx="16">
                  <c:v>2</c:v>
                </c:pt>
                <c:pt idx="18">
                  <c:v>1</c:v>
                </c:pt>
                <c:pt idx="20">
                  <c:v>1</c:v>
                </c:pt>
              </c:numCache>
            </c:numRef>
          </c:val>
          <c:smooth val="0"/>
          <c:extLst>
            <c:ext xmlns:c16="http://schemas.microsoft.com/office/drawing/2014/chart" uri="{C3380CC4-5D6E-409C-BE32-E72D297353CC}">
              <c16:uniqueId val="{00000003-25C6-D142-BFD1-45678B5FAB00}"/>
            </c:ext>
          </c:extLst>
        </c:ser>
        <c:dLbls>
          <c:showLegendKey val="0"/>
          <c:showVal val="0"/>
          <c:showCatName val="0"/>
          <c:showSerName val="0"/>
          <c:showPercent val="0"/>
          <c:showBubbleSize val="0"/>
        </c:dLbls>
        <c:smooth val="0"/>
        <c:axId val="23426655"/>
        <c:axId val="23632431"/>
      </c:lineChart>
      <c:catAx>
        <c:axId val="2342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32431"/>
        <c:crosses val="autoZero"/>
        <c:auto val="1"/>
        <c:lblAlgn val="ctr"/>
        <c:lblOffset val="100"/>
        <c:noMultiLvlLbl val="0"/>
      </c:catAx>
      <c:valAx>
        <c:axId val="23632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26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[excel-bike-sales-dasboard.xlsx]Pivot Table!PivotTable1</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555699073693545E-2"/>
          <c:y val="0.13821887232746813"/>
          <c:w val="0.77785409106572845"/>
          <c:h val="0.59059006230376465"/>
        </c:manualLayout>
      </c:layout>
      <c:barChart>
        <c:barDir val="col"/>
        <c:grouping val="clustered"/>
        <c:varyColors val="0"/>
        <c:ser>
          <c:idx val="0"/>
          <c:order val="0"/>
          <c:tx>
            <c:strRef>
              <c:f>'Pivot Table'!$B$3:$B$4</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Table'!$A$5:$A$7</c:f>
              <c:strCache>
                <c:ptCount val="2"/>
                <c:pt idx="0">
                  <c:v>Female</c:v>
                </c:pt>
                <c:pt idx="1">
                  <c:v>Male</c:v>
                </c:pt>
              </c:strCache>
            </c:strRef>
          </c:cat>
          <c:val>
            <c:numRef>
              <c:f>'Pivot Table'!$B$5:$B$7</c:f>
              <c:numCache>
                <c:formatCode>_("$"* #,##0_);_("$"* \(#,##0\);_("$"* "-"??_);_(@_)</c:formatCode>
                <c:ptCount val="2"/>
                <c:pt idx="0">
                  <c:v>76153.846153846156</c:v>
                </c:pt>
                <c:pt idx="1">
                  <c:v>82222.222222222219</c:v>
                </c:pt>
              </c:numCache>
            </c:numRef>
          </c:val>
          <c:extLst>
            <c:ext xmlns:c16="http://schemas.microsoft.com/office/drawing/2014/chart" uri="{C3380CC4-5D6E-409C-BE32-E72D297353CC}">
              <c16:uniqueId val="{00000000-5DB5-8240-AE7D-2E31AF8304D4}"/>
            </c:ext>
          </c:extLst>
        </c:ser>
        <c:ser>
          <c:idx val="1"/>
          <c:order val="1"/>
          <c:tx>
            <c:strRef>
              <c:f>'Pivot Table'!$C$3:$C$4</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Table'!$A$5:$A$7</c:f>
              <c:strCache>
                <c:ptCount val="2"/>
                <c:pt idx="0">
                  <c:v>Female</c:v>
                </c:pt>
                <c:pt idx="1">
                  <c:v>Male</c:v>
                </c:pt>
              </c:strCache>
            </c:strRef>
          </c:cat>
          <c:val>
            <c:numRef>
              <c:f>'Pivot Table'!$C$5:$C$7</c:f>
              <c:numCache>
                <c:formatCode>_("$"* #,##0_);_("$"* \(#,##0\);_("$"* "-"??_);_(@_)</c:formatCode>
                <c:ptCount val="2"/>
                <c:pt idx="0">
                  <c:v>70869.565217391311</c:v>
                </c:pt>
                <c:pt idx="1">
                  <c:v>73333.333333333328</c:v>
                </c:pt>
              </c:numCache>
            </c:numRef>
          </c:val>
          <c:extLst>
            <c:ext xmlns:c16="http://schemas.microsoft.com/office/drawing/2014/chart" uri="{C3380CC4-5D6E-409C-BE32-E72D297353CC}">
              <c16:uniqueId val="{00000001-5DB5-8240-AE7D-2E31AF8304D4}"/>
            </c:ext>
          </c:extLst>
        </c:ser>
        <c:dLbls>
          <c:dLblPos val="inEnd"/>
          <c:showLegendKey val="0"/>
          <c:showVal val="1"/>
          <c:showCatName val="0"/>
          <c:showSerName val="0"/>
          <c:showPercent val="0"/>
          <c:showBubbleSize val="0"/>
        </c:dLbls>
        <c:gapWidth val="65"/>
        <c:axId val="649539824"/>
        <c:axId val="649541536"/>
      </c:barChart>
      <c:catAx>
        <c:axId val="64953982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Gender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49541536"/>
        <c:crosses val="autoZero"/>
        <c:auto val="1"/>
        <c:lblAlgn val="ctr"/>
        <c:lblOffset val="100"/>
        <c:noMultiLvlLbl val="0"/>
      </c:catAx>
      <c:valAx>
        <c:axId val="64954153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_(&quot;$&quot;* #,##0_);_(&quot;$&quot;* \(#,##0\);_(&quot;$&quot;* &quot;-&quot;??_);_(@_)" sourceLinked="1"/>
        <c:majorTickMark val="none"/>
        <c:minorTickMark val="none"/>
        <c:tickLblPos val="nextTo"/>
        <c:crossAx val="649539824"/>
        <c:crosses val="autoZero"/>
        <c:crossBetween val="between"/>
      </c:valAx>
      <c:dTable>
        <c:showHorzBorder val="1"/>
        <c:showVertBorder val="1"/>
        <c:showOutline val="1"/>
        <c:showKeys val="0"/>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[excel-bike-sales-dasboard.xlsx]Pivot Table!PivotTable2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431689701064515E-2"/>
          <c:y val="0.14449298412807612"/>
          <c:w val="0.88757238542128092"/>
          <c:h val="0.6978353137870712"/>
        </c:manualLayout>
      </c:layout>
      <c:lineChart>
        <c:grouping val="standard"/>
        <c:varyColors val="0"/>
        <c:ser>
          <c:idx val="0"/>
          <c:order val="0"/>
          <c:tx>
            <c:strRef>
              <c:f>'Pivot Table'!$B$21:$B$22</c:f>
              <c:strCache>
                <c:ptCount val="1"/>
                <c:pt idx="0">
                  <c:v>No</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8</c:v>
                </c:pt>
                <c:pt idx="1">
                  <c:v>3</c:v>
                </c:pt>
                <c:pt idx="2">
                  <c:v>5</c:v>
                </c:pt>
                <c:pt idx="3">
                  <c:v>1</c:v>
                </c:pt>
                <c:pt idx="4">
                  <c:v>5</c:v>
                </c:pt>
              </c:numCache>
            </c:numRef>
          </c:val>
          <c:smooth val="0"/>
          <c:extLst>
            <c:ext xmlns:c16="http://schemas.microsoft.com/office/drawing/2014/chart" uri="{C3380CC4-5D6E-409C-BE32-E72D297353CC}">
              <c16:uniqueId val="{00000000-68BB-AE4C-A20D-DD75762108F4}"/>
            </c:ext>
          </c:extLst>
        </c:ser>
        <c:ser>
          <c:idx val="1"/>
          <c:order val="1"/>
          <c:tx>
            <c:strRef>
              <c:f>'Pivot Table'!$C$21:$C$22</c:f>
              <c:strCache>
                <c:ptCount val="1"/>
                <c:pt idx="0">
                  <c:v>Yes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15</c:v>
                </c:pt>
                <c:pt idx="1">
                  <c:v>4</c:v>
                </c:pt>
                <c:pt idx="2">
                  <c:v>22</c:v>
                </c:pt>
                <c:pt idx="3">
                  <c:v>2</c:v>
                </c:pt>
                <c:pt idx="4">
                  <c:v>4</c:v>
                </c:pt>
              </c:numCache>
            </c:numRef>
          </c:val>
          <c:smooth val="0"/>
          <c:extLst>
            <c:ext xmlns:c16="http://schemas.microsoft.com/office/drawing/2014/chart" uri="{C3380CC4-5D6E-409C-BE32-E72D297353CC}">
              <c16:uniqueId val="{00000001-68BB-AE4C-A20D-DD75762108F4}"/>
            </c:ext>
          </c:extLst>
        </c:ser>
        <c:dLbls>
          <c:dLblPos val="ctr"/>
          <c:showLegendKey val="0"/>
          <c:showVal val="1"/>
          <c:showCatName val="0"/>
          <c:showSerName val="0"/>
          <c:showPercent val="0"/>
          <c:showBubbleSize val="0"/>
        </c:dLbls>
        <c:marker val="1"/>
        <c:smooth val="0"/>
        <c:axId val="510073152"/>
        <c:axId val="510150320"/>
      </c:lineChart>
      <c:catAx>
        <c:axId val="51007315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Commute DIstance </a:t>
                </a:r>
              </a:p>
              <a:p>
                <a:pPr>
                  <a:defRPr/>
                </a:pP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10150320"/>
        <c:crosses val="autoZero"/>
        <c:auto val="1"/>
        <c:lblAlgn val="ctr"/>
        <c:lblOffset val="100"/>
        <c:noMultiLvlLbl val="0"/>
      </c:catAx>
      <c:valAx>
        <c:axId val="51015032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1007315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[excel-bike-sales-dasboard.xlsx]Pivot Table!PivotTable3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Table'!$A$39:$A$42</c:f>
              <c:strCache>
                <c:ptCount val="3"/>
                <c:pt idx="0">
                  <c:v>Adolescent</c:v>
                </c:pt>
                <c:pt idx="1">
                  <c:v>Middle Age</c:v>
                </c:pt>
                <c:pt idx="2">
                  <c:v>Old</c:v>
                </c:pt>
              </c:strCache>
            </c:strRef>
          </c:cat>
          <c:val>
            <c:numRef>
              <c:f>'Pivot Table'!$B$39:$B$42</c:f>
              <c:numCache>
                <c:formatCode>General</c:formatCode>
                <c:ptCount val="3"/>
                <c:pt idx="0">
                  <c:v>1</c:v>
                </c:pt>
                <c:pt idx="1">
                  <c:v>15</c:v>
                </c:pt>
                <c:pt idx="2">
                  <c:v>6</c:v>
                </c:pt>
              </c:numCache>
            </c:numRef>
          </c:val>
          <c:smooth val="0"/>
          <c:extLst>
            <c:ext xmlns:c16="http://schemas.microsoft.com/office/drawing/2014/chart" uri="{C3380CC4-5D6E-409C-BE32-E72D297353CC}">
              <c16:uniqueId val="{00000000-DB0B-D54F-B412-170F15D2D44E}"/>
            </c:ext>
          </c:extLst>
        </c:ser>
        <c:ser>
          <c:idx val="1"/>
          <c:order val="1"/>
          <c:tx>
            <c:strRef>
              <c:f>'Pivot Table'!$C$37:$C$38</c:f>
              <c:strCache>
                <c:ptCount val="1"/>
                <c:pt idx="0">
                  <c:v>Yes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Table'!$A$39:$A$42</c:f>
              <c:strCache>
                <c:ptCount val="3"/>
                <c:pt idx="0">
                  <c:v>Adolescent</c:v>
                </c:pt>
                <c:pt idx="1">
                  <c:v>Middle Age</c:v>
                </c:pt>
                <c:pt idx="2">
                  <c:v>Old</c:v>
                </c:pt>
              </c:strCache>
            </c:strRef>
          </c:cat>
          <c:val>
            <c:numRef>
              <c:f>'Pivot Table'!$C$39:$C$42</c:f>
              <c:numCache>
                <c:formatCode>General</c:formatCode>
                <c:ptCount val="3"/>
                <c:pt idx="1">
                  <c:v>39</c:v>
                </c:pt>
                <c:pt idx="2">
                  <c:v>8</c:v>
                </c:pt>
              </c:numCache>
            </c:numRef>
          </c:val>
          <c:smooth val="0"/>
          <c:extLst>
            <c:ext xmlns:c16="http://schemas.microsoft.com/office/drawing/2014/chart" uri="{C3380CC4-5D6E-409C-BE32-E72D297353CC}">
              <c16:uniqueId val="{00000001-DB0B-D54F-B412-170F15D2D44E}"/>
            </c:ext>
          </c:extLst>
        </c:ser>
        <c:dLbls>
          <c:dLblPos val="ctr"/>
          <c:showLegendKey val="0"/>
          <c:showVal val="1"/>
          <c:showCatName val="0"/>
          <c:showSerName val="0"/>
          <c:showPercent val="0"/>
          <c:showBubbleSize val="0"/>
        </c:dLbls>
        <c:marker val="1"/>
        <c:smooth val="0"/>
        <c:axId val="650494960"/>
        <c:axId val="650496672"/>
      </c:lineChart>
      <c:catAx>
        <c:axId val="65049496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50496672"/>
        <c:crosses val="autoZero"/>
        <c:auto val="1"/>
        <c:lblAlgn val="ctr"/>
        <c:lblOffset val="100"/>
        <c:noMultiLvlLbl val="0"/>
      </c:catAx>
      <c:valAx>
        <c:axId val="6504966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5049496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806450</xdr:colOff>
      <xdr:row>1</xdr:row>
      <xdr:rowOff>184150</xdr:rowOff>
    </xdr:from>
    <xdr:to>
      <xdr:col>10</xdr:col>
      <xdr:colOff>425450</xdr:colOff>
      <xdr:row>16</xdr:row>
      <xdr:rowOff>69850</xdr:rowOff>
    </xdr:to>
    <xdr:graphicFrame macro="">
      <xdr:nvGraphicFramePr>
        <xdr:cNvPr id="3" name="Chart 2">
          <a:extLst>
            <a:ext uri="{FF2B5EF4-FFF2-40B4-BE49-F238E27FC236}">
              <a16:creationId xmlns:a16="http://schemas.microsoft.com/office/drawing/2014/main" id="{3D2D3A3A-5E84-B98D-FD83-ADE9A415B1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286731</xdr:colOff>
      <xdr:row>19</xdr:row>
      <xdr:rowOff>55513</xdr:rowOff>
    </xdr:from>
    <xdr:to>
      <xdr:col>9</xdr:col>
      <xdr:colOff>734505</xdr:colOff>
      <xdr:row>33</xdr:row>
      <xdr:rowOff>49228</xdr:rowOff>
    </xdr:to>
    <xdr:graphicFrame macro="">
      <xdr:nvGraphicFramePr>
        <xdr:cNvPr id="4" name="Chart 3">
          <a:extLst>
            <a:ext uri="{FF2B5EF4-FFF2-40B4-BE49-F238E27FC236}">
              <a16:creationId xmlns:a16="http://schemas.microsoft.com/office/drawing/2014/main" id="{56673B8C-C660-DD79-2139-DE04E8A616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298088</xdr:colOff>
      <xdr:row>35</xdr:row>
      <xdr:rowOff>160389</xdr:rowOff>
    </xdr:from>
    <xdr:to>
      <xdr:col>9</xdr:col>
      <xdr:colOff>745861</xdr:colOff>
      <xdr:row>49</xdr:row>
      <xdr:rowOff>154104</xdr:rowOff>
    </xdr:to>
    <xdr:graphicFrame macro="">
      <xdr:nvGraphicFramePr>
        <xdr:cNvPr id="5" name="Chart 4">
          <a:extLst>
            <a:ext uri="{FF2B5EF4-FFF2-40B4-BE49-F238E27FC236}">
              <a16:creationId xmlns:a16="http://schemas.microsoft.com/office/drawing/2014/main" id="{1EE81B04-5D9F-9857-DFCC-0532E8B8A2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489855</xdr:colOff>
      <xdr:row>51</xdr:row>
      <xdr:rowOff>61685</xdr:rowOff>
    </xdr:from>
    <xdr:to>
      <xdr:col>18</xdr:col>
      <xdr:colOff>689426</xdr:colOff>
      <xdr:row>88</xdr:row>
      <xdr:rowOff>72571</xdr:rowOff>
    </xdr:to>
    <xdr:graphicFrame macro="">
      <xdr:nvGraphicFramePr>
        <xdr:cNvPr id="6" name="Chart 5">
          <a:extLst>
            <a:ext uri="{FF2B5EF4-FFF2-40B4-BE49-F238E27FC236}">
              <a16:creationId xmlns:a16="http://schemas.microsoft.com/office/drawing/2014/main" id="{5EABA112-708E-1904-E884-F380F67350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773691</xdr:colOff>
      <xdr:row>6</xdr:row>
      <xdr:rowOff>52010</xdr:rowOff>
    </xdr:from>
    <xdr:to>
      <xdr:col>9</xdr:col>
      <xdr:colOff>406400</xdr:colOff>
      <xdr:row>24</xdr:row>
      <xdr:rowOff>79664</xdr:rowOff>
    </xdr:to>
    <xdr:graphicFrame macro="">
      <xdr:nvGraphicFramePr>
        <xdr:cNvPr id="2" name="Chart 1">
          <a:extLst>
            <a:ext uri="{FF2B5EF4-FFF2-40B4-BE49-F238E27FC236}">
              <a16:creationId xmlns:a16="http://schemas.microsoft.com/office/drawing/2014/main" id="{17250CF4-B7CE-D248-B2BC-CF5C7B26AE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746991</xdr:colOff>
      <xdr:row>24</xdr:row>
      <xdr:rowOff>115455</xdr:rowOff>
    </xdr:from>
    <xdr:to>
      <xdr:col>14</xdr:col>
      <xdr:colOff>801511</xdr:colOff>
      <xdr:row>46</xdr:row>
      <xdr:rowOff>86590</xdr:rowOff>
    </xdr:to>
    <xdr:graphicFrame macro="">
      <xdr:nvGraphicFramePr>
        <xdr:cNvPr id="3" name="Chart 2">
          <a:extLst>
            <a:ext uri="{FF2B5EF4-FFF2-40B4-BE49-F238E27FC236}">
              <a16:creationId xmlns:a16="http://schemas.microsoft.com/office/drawing/2014/main" id="{9611260A-2E9C-CF44-9A61-0FCB54A91E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440266</xdr:colOff>
      <xdr:row>6</xdr:row>
      <xdr:rowOff>62088</xdr:rowOff>
    </xdr:from>
    <xdr:to>
      <xdr:col>14</xdr:col>
      <xdr:colOff>812801</xdr:colOff>
      <xdr:row>24</xdr:row>
      <xdr:rowOff>97879</xdr:rowOff>
    </xdr:to>
    <xdr:graphicFrame macro="">
      <xdr:nvGraphicFramePr>
        <xdr:cNvPr id="4" name="Chart 3">
          <a:extLst>
            <a:ext uri="{FF2B5EF4-FFF2-40B4-BE49-F238E27FC236}">
              <a16:creationId xmlns:a16="http://schemas.microsoft.com/office/drawing/2014/main" id="{F4BC0CAB-1AFA-A94D-8CCC-58E52A0BBD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57855</xdr:rowOff>
    </xdr:from>
    <xdr:to>
      <xdr:col>3</xdr:col>
      <xdr:colOff>778932</xdr:colOff>
      <xdr:row>11</xdr:row>
      <xdr:rowOff>50800</xdr:rowOff>
    </xdr:to>
    <mc:AlternateContent xmlns:mc="http://schemas.openxmlformats.org/markup-compatibility/2006">
      <mc:Choice xmlns:a14="http://schemas.microsoft.com/office/drawing/2010/main" Requires="a14">
        <xdr:graphicFrame macro="">
          <xdr:nvGraphicFramePr>
            <xdr:cNvPr id="6" name="Martial Status">
              <a:extLst>
                <a:ext uri="{FF2B5EF4-FFF2-40B4-BE49-F238E27FC236}">
                  <a16:creationId xmlns:a16="http://schemas.microsoft.com/office/drawing/2014/main" id="{01AFBCF3-3D2C-ED81-82FF-82D9C3F80EF6}"/>
                </a:ext>
              </a:extLst>
            </xdr:cNvPr>
            <xdr:cNvGraphicFramePr/>
          </xdr:nvGraphicFramePr>
          <xdr:xfrm>
            <a:off x="0" y="0"/>
            <a:ext cx="0" cy="0"/>
          </xdr:xfrm>
          <a:graphic>
            <a:graphicData uri="http://schemas.microsoft.com/office/drawing/2010/slicer">
              <sle:slicer xmlns:sle="http://schemas.microsoft.com/office/drawing/2010/slicer" name="Martial Status"/>
            </a:graphicData>
          </a:graphic>
        </xdr:graphicFrame>
      </mc:Choice>
      <mc:Fallback>
        <xdr:sp macro="" textlink="">
          <xdr:nvSpPr>
            <xdr:cNvPr id="0" name=""/>
            <xdr:cNvSpPr>
              <a:spLocks noTextEdit="1"/>
            </xdr:cNvSpPr>
          </xdr:nvSpPr>
          <xdr:spPr>
            <a:xfrm>
              <a:off x="0" y="1361722"/>
              <a:ext cx="3268132" cy="9412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152401</xdr:rowOff>
    </xdr:from>
    <xdr:to>
      <xdr:col>3</xdr:col>
      <xdr:colOff>745066</xdr:colOff>
      <xdr:row>28</xdr:row>
      <xdr:rowOff>67734</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53498162-0099-E10B-C508-33EE0421BCE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708401"/>
              <a:ext cx="3234266" cy="1778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33867</xdr:colOff>
      <xdr:row>11</xdr:row>
      <xdr:rowOff>71967</xdr:rowOff>
    </xdr:from>
    <xdr:to>
      <xdr:col>3</xdr:col>
      <xdr:colOff>761999</xdr:colOff>
      <xdr:row>18</xdr:row>
      <xdr:rowOff>118533</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2747310C-BE58-F570-972C-25CF915B546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3867" y="2324100"/>
              <a:ext cx="3217332" cy="13504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et" refreshedDate="46217.382147800927" createdVersion="8" refreshedVersion="8" minRefreshableVersion="3" recordCount="1000" xr:uid="{FB582DB5-AFA5-C340-A698-E0010E11EB3B}">
  <cacheSource type="worksheet">
    <worksheetSource ref="A1:N1001" sheet="Working Sheet"/>
  </cacheSource>
  <cacheFields count="14">
    <cacheField name="ID" numFmtId="0">
      <sharedItems containsSemiMixedTypes="0" containsString="0" containsNumber="1" containsInteger="1" minValue="11000" maxValue="29447"/>
    </cacheField>
    <cacheField name="Marti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7362806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894BA0-3D42-CC49-9B43-6683A1F4603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1:D28"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sortType="ascending">
      <items count="8">
        <item x="0"/>
        <item x="3"/>
        <item m="1" x="5"/>
        <item m="1" x="6"/>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1"/>
    </i>
    <i>
      <x v="4"/>
    </i>
    <i>
      <x v="5"/>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8DB662-B4B3-4048-9B1D-89A39CE400C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6C921D-9E06-614D-916C-D5EA82E8A318}"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3:G78" firstHeaderRow="1" firstDataRow="3"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axis="axisRow" dataField="1"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23">
    <i>
      <x v="5"/>
    </i>
    <i>
      <x v="9"/>
    </i>
    <i>
      <x v="11"/>
    </i>
    <i>
      <x v="12"/>
    </i>
    <i>
      <x v="13"/>
    </i>
    <i>
      <x v="14"/>
    </i>
    <i>
      <x v="15"/>
    </i>
    <i>
      <x v="16"/>
    </i>
    <i>
      <x v="17"/>
    </i>
    <i>
      <x v="18"/>
    </i>
    <i>
      <x v="19"/>
    </i>
    <i>
      <x v="20"/>
    </i>
    <i>
      <x v="22"/>
    </i>
    <i>
      <x v="32"/>
    </i>
    <i>
      <x v="33"/>
    </i>
    <i>
      <x v="34"/>
    </i>
    <i>
      <x v="35"/>
    </i>
    <i>
      <x v="36"/>
    </i>
    <i>
      <x v="37"/>
    </i>
    <i>
      <x v="38"/>
    </i>
    <i>
      <x v="41"/>
    </i>
    <i>
      <x v="42"/>
    </i>
    <i t="grand">
      <x/>
    </i>
  </rowItems>
  <colFields count="2">
    <field x="13"/>
    <field x="-2"/>
  </colFields>
  <colItems count="6">
    <i>
      <x/>
      <x/>
    </i>
    <i r="1" i="1">
      <x v="1"/>
    </i>
    <i>
      <x v="1"/>
      <x/>
    </i>
    <i r="1" i="1">
      <x v="1"/>
    </i>
    <i t="grand">
      <x/>
    </i>
    <i t="grand" i="1">
      <x/>
    </i>
  </colItems>
  <dataFields count="2">
    <dataField name="Sum of Age" fld="11" baseField="0" baseItem="0"/>
    <dataField name="Count of Purchased Bike" fld="13" subtotal="count" baseField="0" baseItem="0"/>
  </dataFields>
  <chartFormats count="10">
    <chartFormat chart="0" format="0" series="1">
      <pivotArea type="data" outline="0" fieldPosition="0">
        <references count="2">
          <reference field="4294967294" count="1" selected="0">
            <x v="1"/>
          </reference>
          <reference field="13" count="1" selected="0">
            <x v="0"/>
          </reference>
        </references>
      </pivotArea>
    </chartFormat>
    <chartFormat chart="0" format="1" series="1">
      <pivotArea type="data" outline="0" fieldPosition="0">
        <references count="2">
          <reference field="4294967294" count="1" selected="0">
            <x v="1"/>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1"/>
          </reference>
          <reference field="13" count="1" selected="0">
            <x v="0"/>
          </reference>
        </references>
      </pivotArea>
    </chartFormat>
    <chartFormat chart="2" format="2" series="1">
      <pivotArea type="data" outline="0" fieldPosition="0">
        <references count="2">
          <reference field="4294967294" count="1" selected="0">
            <x v="0"/>
          </reference>
          <reference field="13" count="1" selected="0">
            <x v="1"/>
          </reference>
        </references>
      </pivotArea>
    </chartFormat>
    <chartFormat chart="2" format="3" series="1">
      <pivotArea type="data" outline="0" fieldPosition="0">
        <references count="2">
          <reference field="4294967294" count="1" selected="0">
            <x v="1"/>
          </reference>
          <reference field="13" count="1" selected="0">
            <x v="1"/>
          </reference>
        </references>
      </pivotArea>
    </chartFormat>
    <chartFormat chart="2" format="4">
      <pivotArea type="data" outline="0" fieldPosition="0">
        <references count="3">
          <reference field="4294967294" count="1" selected="0">
            <x v="0"/>
          </reference>
          <reference field="11" count="1" selected="0">
            <x v="52"/>
          </reference>
          <reference field="13" count="1" selected="0">
            <x v="0"/>
          </reference>
        </references>
      </pivotArea>
    </chartFormat>
    <chartFormat chart="2" format="5">
      <pivotArea type="data" outline="0" fieldPosition="0">
        <references count="3">
          <reference field="4294967294" count="1" selected="0">
            <x v="1"/>
          </reference>
          <reference field="11" count="1" selected="0">
            <x v="52"/>
          </reference>
          <reference field="13" count="1" selected="0">
            <x v="0"/>
          </reference>
        </references>
      </pivotArea>
    </chartFormat>
    <chartFormat chart="2" format="6">
      <pivotArea type="data" outline="0" fieldPosition="0">
        <references count="3">
          <reference field="4294967294" count="1" selected="0">
            <x v="0"/>
          </reference>
          <reference field="11" count="1" selected="0">
            <x v="52"/>
          </reference>
          <reference field="13" count="1" selected="0">
            <x v="1"/>
          </reference>
        </references>
      </pivotArea>
    </chartFormat>
    <chartFormat chart="2" format="7">
      <pivotArea type="data" outline="0" fieldPosition="0">
        <references count="3">
          <reference field="4294967294" count="1" selected="0">
            <x v="1"/>
          </reference>
          <reference field="11" count="1" selected="0">
            <x v="52"/>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FDCA09-54E4-0345-AAA6-D319CA97660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7:D42"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87C401E5-F040-904F-9E49-143365563AE6}" sourceName="Martial Status">
  <pivotTables>
    <pivotTable tabId="3" name="PivotTable1"/>
    <pivotTable tabId="3" name="PivotTable2"/>
    <pivotTable tabId="3" name="PivotTable3"/>
    <pivotTable tabId="3" name="PivotTable4"/>
  </pivotTables>
  <data>
    <tabular pivotCacheId="736280668">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6F2AFE9-0F98-6C43-B047-88FDEB8B20A5}" sourceName="Education">
  <pivotTables>
    <pivotTable tabId="3" name="PivotTable1"/>
    <pivotTable tabId="3" name="PivotTable2"/>
    <pivotTable tabId="3" name="PivotTable3"/>
    <pivotTable tabId="3" name="PivotTable4"/>
  </pivotTables>
  <data>
    <tabular pivotCacheId="736280668">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C2FC952-9C6E-F245-9BA9-9EFB95E407C3}" sourceName="Region">
  <pivotTables>
    <pivotTable tabId="3" name="PivotTable1"/>
    <pivotTable tabId="3" name="PivotTable2"/>
    <pivotTable tabId="3" name="PivotTable3"/>
    <pivotTable tabId="3" name="PivotTable4"/>
  </pivotTables>
  <data>
    <tabular pivotCacheId="736280668">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al Status" xr10:uid="{0EEA7C48-ACDB-AC4B-8736-1A07BA402517}" cache="Slicer_Martial_Status" caption="Martial Status" rowHeight="230716"/>
  <slicer name="Education" xr10:uid="{A2B67134-9762-1E40-9993-1F78D11A9AC7}" cache="Slicer_Education" caption="Education" rowHeight="230716"/>
  <slicer name="Region" xr10:uid="{6F0DE583-7515-8340-A4CC-BEEE9B6985B8}" cache="Slicer_Region" caption="Reg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B5A7B-7E42-3448-A151-6ACA742BC258}">
  <dimension ref="A1:N1010"/>
  <sheetViews>
    <sheetView topLeftCell="E1" zoomScale="95" workbookViewId="0">
      <selection activeCell="M2" sqref="M2"/>
    </sheetView>
  </sheetViews>
  <sheetFormatPr baseColWidth="10" defaultColWidth="11.83203125" defaultRowHeight="15" x14ac:dyDescent="0.2"/>
  <cols>
    <col min="2" max="2" width="14.1640625" bestFit="1" customWidth="1"/>
    <col min="3" max="3" width="9.1640625" bestFit="1" customWidth="1"/>
    <col min="4" max="4" width="12.1640625" style="3" bestFit="1" customWidth="1"/>
    <col min="14" max="14" width="15.5" customWidth="1"/>
  </cols>
  <sheetData>
    <row r="1" spans="1:14" x14ac:dyDescent="0.2">
      <c r="A1" t="s">
        <v>0</v>
      </c>
      <c r="B1" t="s">
        <v>41</v>
      </c>
      <c r="C1" t="s">
        <v>2</v>
      </c>
      <c r="D1" s="3" t="s">
        <v>3</v>
      </c>
      <c r="E1" t="s">
        <v>4</v>
      </c>
      <c r="F1" t="s">
        <v>5</v>
      </c>
      <c r="G1" t="s">
        <v>6</v>
      </c>
      <c r="H1" t="s">
        <v>7</v>
      </c>
      <c r="I1" t="s">
        <v>8</v>
      </c>
      <c r="J1" t="s">
        <v>9</v>
      </c>
      <c r="K1" t="s">
        <v>10</v>
      </c>
      <c r="L1" t="s">
        <v>11</v>
      </c>
      <c r="M1" t="s">
        <v>40</v>
      </c>
      <c r="N1" t="s">
        <v>12</v>
      </c>
    </row>
    <row r="2" spans="1:14" x14ac:dyDescent="0.2">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2">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
      <c r="A4">
        <v>14177</v>
      </c>
      <c r="B4" t="s">
        <v>36</v>
      </c>
      <c r="C4" t="s">
        <v>39</v>
      </c>
      <c r="D4" s="3">
        <v>80000</v>
      </c>
      <c r="E4">
        <v>5</v>
      </c>
      <c r="F4" t="s">
        <v>19</v>
      </c>
      <c r="G4" t="s">
        <v>21</v>
      </c>
      <c r="H4" t="s">
        <v>18</v>
      </c>
      <c r="I4">
        <v>2</v>
      </c>
      <c r="J4" t="s">
        <v>22</v>
      </c>
      <c r="K4" t="s">
        <v>17</v>
      </c>
      <c r="L4">
        <v>60</v>
      </c>
      <c r="M4" t="str">
        <f t="shared" si="0"/>
        <v>Old</v>
      </c>
      <c r="N4" t="s">
        <v>18</v>
      </c>
    </row>
    <row r="5" spans="1:14" x14ac:dyDescent="0.2">
      <c r="A5">
        <v>24381</v>
      </c>
      <c r="B5" t="s">
        <v>37</v>
      </c>
      <c r="C5" t="s">
        <v>39</v>
      </c>
      <c r="D5" s="3">
        <v>70000</v>
      </c>
      <c r="E5">
        <v>0</v>
      </c>
      <c r="F5" t="s">
        <v>13</v>
      </c>
      <c r="G5" t="s">
        <v>21</v>
      </c>
      <c r="H5" t="s">
        <v>15</v>
      </c>
      <c r="I5">
        <v>1</v>
      </c>
      <c r="J5" t="s">
        <v>23</v>
      </c>
      <c r="K5" t="s">
        <v>24</v>
      </c>
      <c r="L5">
        <v>41</v>
      </c>
      <c r="M5" t="str">
        <f t="shared" si="0"/>
        <v>Middle Age</v>
      </c>
      <c r="N5" t="s">
        <v>15</v>
      </c>
    </row>
    <row r="6" spans="1:14" x14ac:dyDescent="0.2">
      <c r="A6">
        <v>25597</v>
      </c>
      <c r="B6" t="s">
        <v>37</v>
      </c>
      <c r="C6" t="s">
        <v>39</v>
      </c>
      <c r="D6" s="3">
        <v>30000</v>
      </c>
      <c r="E6">
        <v>0</v>
      </c>
      <c r="F6" t="s">
        <v>13</v>
      </c>
      <c r="G6" t="s">
        <v>20</v>
      </c>
      <c r="H6" t="s">
        <v>18</v>
      </c>
      <c r="I6">
        <v>0</v>
      </c>
      <c r="J6" t="s">
        <v>16</v>
      </c>
      <c r="K6" t="s">
        <v>17</v>
      </c>
      <c r="L6">
        <v>36</v>
      </c>
      <c r="M6" t="str">
        <f t="shared" si="0"/>
        <v>Middle Age</v>
      </c>
      <c r="N6" t="s">
        <v>15</v>
      </c>
    </row>
    <row r="7" spans="1:14" x14ac:dyDescent="0.2">
      <c r="A7">
        <v>13507</v>
      </c>
      <c r="B7" t="s">
        <v>36</v>
      </c>
      <c r="C7" t="s">
        <v>38</v>
      </c>
      <c r="D7" s="3">
        <v>10000</v>
      </c>
      <c r="E7">
        <v>2</v>
      </c>
      <c r="F7" t="s">
        <v>19</v>
      </c>
      <c r="G7" t="s">
        <v>25</v>
      </c>
      <c r="H7" t="s">
        <v>15</v>
      </c>
      <c r="I7">
        <v>0</v>
      </c>
      <c r="J7" t="s">
        <v>26</v>
      </c>
      <c r="K7" t="s">
        <v>17</v>
      </c>
      <c r="L7">
        <v>50</v>
      </c>
      <c r="M7" t="str">
        <f t="shared" si="0"/>
        <v>Middle Age</v>
      </c>
      <c r="N7" t="s">
        <v>18</v>
      </c>
    </row>
    <row r="8" spans="1:14" x14ac:dyDescent="0.2">
      <c r="A8">
        <v>27974</v>
      </c>
      <c r="B8" t="s">
        <v>37</v>
      </c>
      <c r="C8" t="s">
        <v>39</v>
      </c>
      <c r="D8" s="3">
        <v>160000</v>
      </c>
      <c r="E8">
        <v>2</v>
      </c>
      <c r="F8" t="s">
        <v>27</v>
      </c>
      <c r="G8" t="s">
        <v>28</v>
      </c>
      <c r="H8" t="s">
        <v>15</v>
      </c>
      <c r="I8">
        <v>4</v>
      </c>
      <c r="J8" t="s">
        <v>16</v>
      </c>
      <c r="K8" t="s">
        <v>24</v>
      </c>
      <c r="L8">
        <v>33</v>
      </c>
      <c r="M8" t="str">
        <f t="shared" si="0"/>
        <v>Middle Age</v>
      </c>
      <c r="N8" t="s">
        <v>15</v>
      </c>
    </row>
    <row r="9" spans="1:14" x14ac:dyDescent="0.2">
      <c r="A9">
        <v>19364</v>
      </c>
      <c r="B9" t="s">
        <v>36</v>
      </c>
      <c r="C9" t="s">
        <v>39</v>
      </c>
      <c r="D9" s="3">
        <v>40000</v>
      </c>
      <c r="E9">
        <v>1</v>
      </c>
      <c r="F9" t="s">
        <v>13</v>
      </c>
      <c r="G9" t="s">
        <v>14</v>
      </c>
      <c r="H9" t="s">
        <v>15</v>
      </c>
      <c r="I9">
        <v>0</v>
      </c>
      <c r="J9" t="s">
        <v>16</v>
      </c>
      <c r="K9" t="s">
        <v>17</v>
      </c>
      <c r="L9">
        <v>43</v>
      </c>
      <c r="M9" t="str">
        <f t="shared" si="0"/>
        <v>Middle Age</v>
      </c>
      <c r="N9" t="s">
        <v>15</v>
      </c>
    </row>
    <row r="10" spans="1:14" x14ac:dyDescent="0.2">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
      <c r="A13">
        <v>12697</v>
      </c>
      <c r="B13" t="s">
        <v>37</v>
      </c>
      <c r="C13" t="s">
        <v>38</v>
      </c>
      <c r="D13" s="3">
        <v>90000</v>
      </c>
      <c r="E13">
        <v>0</v>
      </c>
      <c r="F13" t="s">
        <v>13</v>
      </c>
      <c r="G13" t="s">
        <v>21</v>
      </c>
      <c r="H13" t="s">
        <v>18</v>
      </c>
      <c r="I13">
        <v>4</v>
      </c>
      <c r="J13" t="s">
        <v>47</v>
      </c>
      <c r="K13" t="s">
        <v>24</v>
      </c>
      <c r="L13">
        <v>36</v>
      </c>
      <c r="M13" t="str">
        <f t="shared" si="0"/>
        <v>Middle Age</v>
      </c>
      <c r="N13" t="s">
        <v>18</v>
      </c>
    </row>
    <row r="14" spans="1:14" x14ac:dyDescent="0.2">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
      <c r="A23">
        <v>21564</v>
      </c>
      <c r="B23" t="s">
        <v>37</v>
      </c>
      <c r="C23" t="s">
        <v>38</v>
      </c>
      <c r="D23" s="3">
        <v>80000</v>
      </c>
      <c r="E23">
        <v>0</v>
      </c>
      <c r="F23" t="s">
        <v>13</v>
      </c>
      <c r="G23" t="s">
        <v>21</v>
      </c>
      <c r="H23" t="s">
        <v>15</v>
      </c>
      <c r="I23">
        <v>4</v>
      </c>
      <c r="J23" t="s">
        <v>47</v>
      </c>
      <c r="K23" t="s">
        <v>24</v>
      </c>
      <c r="L23">
        <v>35</v>
      </c>
      <c r="M23" t="str">
        <f t="shared" si="0"/>
        <v>Middle Age</v>
      </c>
      <c r="N23" t="s">
        <v>18</v>
      </c>
    </row>
    <row r="24" spans="1:14" x14ac:dyDescent="0.2">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
      <c r="A53">
        <v>20619</v>
      </c>
      <c r="B53" t="s">
        <v>37</v>
      </c>
      <c r="C53" t="s">
        <v>39</v>
      </c>
      <c r="D53" s="3">
        <v>80000</v>
      </c>
      <c r="E53">
        <v>0</v>
      </c>
      <c r="F53" t="s">
        <v>13</v>
      </c>
      <c r="G53" t="s">
        <v>21</v>
      </c>
      <c r="H53" t="s">
        <v>18</v>
      </c>
      <c r="I53">
        <v>4</v>
      </c>
      <c r="J53" t="s">
        <v>47</v>
      </c>
      <c r="K53" t="s">
        <v>24</v>
      </c>
      <c r="L53">
        <v>35</v>
      </c>
      <c r="M53" t="str">
        <f t="shared" si="0"/>
        <v>Middle Age</v>
      </c>
      <c r="N53" t="s">
        <v>18</v>
      </c>
    </row>
    <row r="54" spans="1:14" x14ac:dyDescent="0.2">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
      <c r="A57">
        <v>28906</v>
      </c>
      <c r="B57" t="s">
        <v>36</v>
      </c>
      <c r="C57" t="s">
        <v>39</v>
      </c>
      <c r="D57" s="3">
        <v>80000</v>
      </c>
      <c r="E57">
        <v>4</v>
      </c>
      <c r="F57" t="s">
        <v>27</v>
      </c>
      <c r="G57" t="s">
        <v>21</v>
      </c>
      <c r="H57" t="s">
        <v>15</v>
      </c>
      <c r="I57">
        <v>2</v>
      </c>
      <c r="J57" t="s">
        <v>47</v>
      </c>
      <c r="K57" t="s">
        <v>17</v>
      </c>
      <c r="L57">
        <v>54</v>
      </c>
      <c r="M57" t="str">
        <f t="shared" si="0"/>
        <v>Middle Age</v>
      </c>
      <c r="N57" t="s">
        <v>18</v>
      </c>
    </row>
    <row r="58" spans="1:14" x14ac:dyDescent="0.2">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
      <c r="A65">
        <v>16185</v>
      </c>
      <c r="B65" t="s">
        <v>37</v>
      </c>
      <c r="C65" t="s">
        <v>39</v>
      </c>
      <c r="D65" s="3">
        <v>60000</v>
      </c>
      <c r="E65">
        <v>4</v>
      </c>
      <c r="F65" t="s">
        <v>13</v>
      </c>
      <c r="G65" t="s">
        <v>21</v>
      </c>
      <c r="H65" t="s">
        <v>15</v>
      </c>
      <c r="I65">
        <v>3</v>
      </c>
      <c r="J65" t="s">
        <v>47</v>
      </c>
      <c r="K65" t="s">
        <v>24</v>
      </c>
      <c r="L65">
        <v>41</v>
      </c>
      <c r="M65" t="str">
        <f t="shared" si="0"/>
        <v>Middle Age</v>
      </c>
      <c r="N65" t="s">
        <v>18</v>
      </c>
    </row>
    <row r="66" spans="1:14" x14ac:dyDescent="0.2">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
      <c r="A72">
        <v>14238</v>
      </c>
      <c r="B72" t="s">
        <v>36</v>
      </c>
      <c r="C72" t="s">
        <v>39</v>
      </c>
      <c r="D72" s="3">
        <v>120000</v>
      </c>
      <c r="E72">
        <v>0</v>
      </c>
      <c r="F72" t="s">
        <v>29</v>
      </c>
      <c r="G72" t="s">
        <v>21</v>
      </c>
      <c r="H72" t="s">
        <v>15</v>
      </c>
      <c r="I72">
        <v>4</v>
      </c>
      <c r="J72" t="s">
        <v>47</v>
      </c>
      <c r="K72" t="s">
        <v>24</v>
      </c>
      <c r="L72">
        <v>36</v>
      </c>
      <c r="M72" t="str">
        <f t="shared" si="1"/>
        <v>Middle Age</v>
      </c>
      <c r="N72" t="s">
        <v>15</v>
      </c>
    </row>
    <row r="73" spans="1:14" x14ac:dyDescent="0.2">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
      <c r="A79">
        <v>27969</v>
      </c>
      <c r="B79" t="s">
        <v>36</v>
      </c>
      <c r="C79" t="s">
        <v>39</v>
      </c>
      <c r="D79" s="3">
        <v>80000</v>
      </c>
      <c r="E79">
        <v>0</v>
      </c>
      <c r="F79" t="s">
        <v>13</v>
      </c>
      <c r="G79" t="s">
        <v>21</v>
      </c>
      <c r="H79" t="s">
        <v>15</v>
      </c>
      <c r="I79">
        <v>2</v>
      </c>
      <c r="J79" t="s">
        <v>47</v>
      </c>
      <c r="K79" t="s">
        <v>24</v>
      </c>
      <c r="L79">
        <v>29</v>
      </c>
      <c r="M79" t="str">
        <f t="shared" si="1"/>
        <v>Adolescent</v>
      </c>
      <c r="N79" t="s">
        <v>15</v>
      </c>
    </row>
    <row r="80" spans="1:14" x14ac:dyDescent="0.2">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
      <c r="A97">
        <v>17197</v>
      </c>
      <c r="B97" t="s">
        <v>37</v>
      </c>
      <c r="C97" t="s">
        <v>38</v>
      </c>
      <c r="D97" s="3">
        <v>90000</v>
      </c>
      <c r="E97">
        <v>5</v>
      </c>
      <c r="F97" t="s">
        <v>19</v>
      </c>
      <c r="G97" t="s">
        <v>21</v>
      </c>
      <c r="H97" t="s">
        <v>15</v>
      </c>
      <c r="I97">
        <v>2</v>
      </c>
      <c r="J97" t="s">
        <v>47</v>
      </c>
      <c r="K97" t="s">
        <v>17</v>
      </c>
      <c r="L97">
        <v>62</v>
      </c>
      <c r="M97" t="str">
        <f t="shared" si="1"/>
        <v>Old</v>
      </c>
      <c r="N97" t="s">
        <v>18</v>
      </c>
    </row>
    <row r="98" spans="1:14" x14ac:dyDescent="0.2">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
      <c r="A124">
        <v>12344</v>
      </c>
      <c r="B124" t="s">
        <v>37</v>
      </c>
      <c r="C124" t="s">
        <v>38</v>
      </c>
      <c r="D124" s="3">
        <v>80000</v>
      </c>
      <c r="E124">
        <v>0</v>
      </c>
      <c r="F124" t="s">
        <v>13</v>
      </c>
      <c r="G124" t="s">
        <v>21</v>
      </c>
      <c r="H124" t="s">
        <v>18</v>
      </c>
      <c r="I124">
        <v>3</v>
      </c>
      <c r="J124" t="s">
        <v>47</v>
      </c>
      <c r="K124" t="s">
        <v>24</v>
      </c>
      <c r="L124">
        <v>31</v>
      </c>
      <c r="M124" t="str">
        <f t="shared" si="1"/>
        <v>Middle Age</v>
      </c>
      <c r="N124" t="s">
        <v>18</v>
      </c>
    </row>
    <row r="125" spans="1:14" x14ac:dyDescent="0.2">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
      <c r="A145">
        <v>16614</v>
      </c>
      <c r="B145" t="s">
        <v>36</v>
      </c>
      <c r="C145" t="s">
        <v>38</v>
      </c>
      <c r="D145" s="3">
        <v>80000</v>
      </c>
      <c r="E145">
        <v>0</v>
      </c>
      <c r="F145" t="s">
        <v>13</v>
      </c>
      <c r="G145" t="s">
        <v>21</v>
      </c>
      <c r="H145" t="s">
        <v>15</v>
      </c>
      <c r="I145">
        <v>3</v>
      </c>
      <c r="J145" t="s">
        <v>47</v>
      </c>
      <c r="K145" t="s">
        <v>24</v>
      </c>
      <c r="L145">
        <v>32</v>
      </c>
      <c r="M145" t="str">
        <f t="shared" si="2"/>
        <v>Middle Age</v>
      </c>
      <c r="N145" t="s">
        <v>18</v>
      </c>
    </row>
    <row r="146" spans="1:14" x14ac:dyDescent="0.2">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
      <c r="A169">
        <v>14233</v>
      </c>
      <c r="B169" t="s">
        <v>37</v>
      </c>
      <c r="C169" t="s">
        <v>39</v>
      </c>
      <c r="D169" s="3">
        <v>100000</v>
      </c>
      <c r="E169">
        <v>0</v>
      </c>
      <c r="F169" t="s">
        <v>27</v>
      </c>
      <c r="G169" t="s">
        <v>28</v>
      </c>
      <c r="H169" t="s">
        <v>15</v>
      </c>
      <c r="I169">
        <v>3</v>
      </c>
      <c r="J169" t="s">
        <v>47</v>
      </c>
      <c r="K169" t="s">
        <v>24</v>
      </c>
      <c r="L169">
        <v>35</v>
      </c>
      <c r="M169" t="str">
        <f t="shared" si="2"/>
        <v>Middle Age</v>
      </c>
      <c r="N169" t="s">
        <v>18</v>
      </c>
    </row>
    <row r="170" spans="1:14" x14ac:dyDescent="0.2">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
      <c r="A180">
        <v>14191</v>
      </c>
      <c r="B180" t="s">
        <v>36</v>
      </c>
      <c r="C180" t="s">
        <v>39</v>
      </c>
      <c r="D180" s="3">
        <v>160000</v>
      </c>
      <c r="E180">
        <v>4</v>
      </c>
      <c r="F180" t="s">
        <v>19</v>
      </c>
      <c r="G180" t="s">
        <v>21</v>
      </c>
      <c r="H180" t="s">
        <v>18</v>
      </c>
      <c r="I180">
        <v>2</v>
      </c>
      <c r="J180" t="s">
        <v>47</v>
      </c>
      <c r="K180" t="s">
        <v>17</v>
      </c>
      <c r="L180">
        <v>55</v>
      </c>
      <c r="M180" t="str">
        <f t="shared" si="2"/>
        <v>Old</v>
      </c>
      <c r="N180" t="s">
        <v>15</v>
      </c>
    </row>
    <row r="181" spans="1:14" x14ac:dyDescent="0.2">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
      <c r="A186">
        <v>28918</v>
      </c>
      <c r="B186" t="s">
        <v>36</v>
      </c>
      <c r="C186" t="s">
        <v>38</v>
      </c>
      <c r="D186" s="3">
        <v>130000</v>
      </c>
      <c r="E186">
        <v>4</v>
      </c>
      <c r="F186" t="s">
        <v>27</v>
      </c>
      <c r="G186" t="s">
        <v>28</v>
      </c>
      <c r="H186" t="s">
        <v>18</v>
      </c>
      <c r="I186">
        <v>4</v>
      </c>
      <c r="J186" t="s">
        <v>47</v>
      </c>
      <c r="K186" t="s">
        <v>17</v>
      </c>
      <c r="L186">
        <v>58</v>
      </c>
      <c r="M186" t="str">
        <f t="shared" si="2"/>
        <v>Old</v>
      </c>
      <c r="N186" t="s">
        <v>18</v>
      </c>
    </row>
    <row r="187" spans="1:14" x14ac:dyDescent="0.2">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
      <c r="A189">
        <v>18151</v>
      </c>
      <c r="B189" t="s">
        <v>37</v>
      </c>
      <c r="C189" t="s">
        <v>39</v>
      </c>
      <c r="D189" s="3">
        <v>80000</v>
      </c>
      <c r="E189">
        <v>5</v>
      </c>
      <c r="F189" t="s">
        <v>19</v>
      </c>
      <c r="G189" t="s">
        <v>21</v>
      </c>
      <c r="H189" t="s">
        <v>18</v>
      </c>
      <c r="I189">
        <v>2</v>
      </c>
      <c r="J189" t="s">
        <v>47</v>
      </c>
      <c r="K189" t="s">
        <v>17</v>
      </c>
      <c r="L189">
        <v>59</v>
      </c>
      <c r="M189" t="str">
        <f t="shared" si="2"/>
        <v>Old</v>
      </c>
      <c r="N189" t="s">
        <v>18</v>
      </c>
    </row>
    <row r="190" spans="1:14" x14ac:dyDescent="0.2">
      <c r="A190">
        <v>20606</v>
      </c>
      <c r="B190" t="s">
        <v>36</v>
      </c>
      <c r="C190" t="s">
        <v>38</v>
      </c>
      <c r="D190" s="3">
        <v>70000</v>
      </c>
      <c r="E190">
        <v>0</v>
      </c>
      <c r="F190" t="s">
        <v>13</v>
      </c>
      <c r="G190" t="s">
        <v>21</v>
      </c>
      <c r="H190" t="s">
        <v>15</v>
      </c>
      <c r="I190">
        <v>4</v>
      </c>
      <c r="J190" t="s">
        <v>47</v>
      </c>
      <c r="K190" t="s">
        <v>24</v>
      </c>
      <c r="L190">
        <v>32</v>
      </c>
      <c r="M190" t="str">
        <f t="shared" si="2"/>
        <v>Middle Age</v>
      </c>
      <c r="N190" t="s">
        <v>15</v>
      </c>
    </row>
    <row r="191" spans="1:14" x14ac:dyDescent="0.2">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
      <c r="A194">
        <v>15682</v>
      </c>
      <c r="B194" t="s">
        <v>37</v>
      </c>
      <c r="C194" t="s">
        <v>38</v>
      </c>
      <c r="D194" s="3">
        <v>80000</v>
      </c>
      <c r="E194">
        <v>5</v>
      </c>
      <c r="F194" t="s">
        <v>13</v>
      </c>
      <c r="G194" t="s">
        <v>28</v>
      </c>
      <c r="H194" t="s">
        <v>15</v>
      </c>
      <c r="I194">
        <v>2</v>
      </c>
      <c r="J194" t="s">
        <v>47</v>
      </c>
      <c r="K194" t="s">
        <v>17</v>
      </c>
      <c r="L194">
        <v>62</v>
      </c>
      <c r="M194" t="str">
        <f t="shared" si="2"/>
        <v>Old</v>
      </c>
      <c r="N194" t="s">
        <v>18</v>
      </c>
    </row>
    <row r="195" spans="1:14" x14ac:dyDescent="0.2">
      <c r="A195">
        <v>26032</v>
      </c>
      <c r="B195" t="s">
        <v>36</v>
      </c>
      <c r="C195" t="s">
        <v>38</v>
      </c>
      <c r="D195" s="3">
        <v>70000</v>
      </c>
      <c r="E195">
        <v>5</v>
      </c>
      <c r="F195" t="s">
        <v>13</v>
      </c>
      <c r="G195" t="s">
        <v>21</v>
      </c>
      <c r="H195" t="s">
        <v>15</v>
      </c>
      <c r="I195">
        <v>4</v>
      </c>
      <c r="J195" t="s">
        <v>47</v>
      </c>
      <c r="K195" t="s">
        <v>24</v>
      </c>
      <c r="L195">
        <v>41</v>
      </c>
      <c r="M195" t="str">
        <f t="shared" ref="M195:M258" si="3">IF(L195&gt;54,"Old",IF(L195&gt;=31,"Middle Age",IF(L195&lt;31,"Adolescent","Invalid")))</f>
        <v>Middle Age</v>
      </c>
      <c r="N195" t="s">
        <v>18</v>
      </c>
    </row>
    <row r="196" spans="1:14" x14ac:dyDescent="0.2">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
      <c r="A201">
        <v>11453</v>
      </c>
      <c r="B201" t="s">
        <v>37</v>
      </c>
      <c r="C201" t="s">
        <v>39</v>
      </c>
      <c r="D201" s="3">
        <v>80000</v>
      </c>
      <c r="E201">
        <v>0</v>
      </c>
      <c r="F201" t="s">
        <v>13</v>
      </c>
      <c r="G201" t="s">
        <v>21</v>
      </c>
      <c r="H201" t="s">
        <v>18</v>
      </c>
      <c r="I201">
        <v>3</v>
      </c>
      <c r="J201" t="s">
        <v>47</v>
      </c>
      <c r="K201" t="s">
        <v>24</v>
      </c>
      <c r="L201">
        <v>33</v>
      </c>
      <c r="M201" t="str">
        <f t="shared" si="3"/>
        <v>Middle Age</v>
      </c>
      <c r="N201" t="s">
        <v>15</v>
      </c>
    </row>
    <row r="202" spans="1:14" x14ac:dyDescent="0.2">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
      <c r="A208">
        <v>11415</v>
      </c>
      <c r="B208" t="s">
        <v>37</v>
      </c>
      <c r="C208" t="s">
        <v>39</v>
      </c>
      <c r="D208" s="3">
        <v>90000</v>
      </c>
      <c r="E208">
        <v>5</v>
      </c>
      <c r="F208" t="s">
        <v>19</v>
      </c>
      <c r="G208" t="s">
        <v>21</v>
      </c>
      <c r="H208" t="s">
        <v>18</v>
      </c>
      <c r="I208">
        <v>2</v>
      </c>
      <c r="J208" t="s">
        <v>47</v>
      </c>
      <c r="K208" t="s">
        <v>17</v>
      </c>
      <c r="L208">
        <v>62</v>
      </c>
      <c r="M208" t="str">
        <f t="shared" si="3"/>
        <v>Old</v>
      </c>
      <c r="N208" t="s">
        <v>18</v>
      </c>
    </row>
    <row r="209" spans="1:14" x14ac:dyDescent="0.2">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
      <c r="A215">
        <v>11451</v>
      </c>
      <c r="B215" t="s">
        <v>37</v>
      </c>
      <c r="C215" t="s">
        <v>39</v>
      </c>
      <c r="D215" s="3">
        <v>70000</v>
      </c>
      <c r="E215">
        <v>0</v>
      </c>
      <c r="F215" t="s">
        <v>13</v>
      </c>
      <c r="G215" t="s">
        <v>21</v>
      </c>
      <c r="H215" t="s">
        <v>18</v>
      </c>
      <c r="I215">
        <v>4</v>
      </c>
      <c r="J215" t="s">
        <v>47</v>
      </c>
      <c r="K215" t="s">
        <v>24</v>
      </c>
      <c r="L215">
        <v>31</v>
      </c>
      <c r="M215" t="str">
        <f t="shared" si="3"/>
        <v>Middle Age</v>
      </c>
      <c r="N215" t="s">
        <v>15</v>
      </c>
    </row>
    <row r="216" spans="1:14" x14ac:dyDescent="0.2">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
      <c r="A225">
        <v>18711</v>
      </c>
      <c r="B225" t="s">
        <v>37</v>
      </c>
      <c r="C225" t="s">
        <v>38</v>
      </c>
      <c r="D225" s="3">
        <v>70000</v>
      </c>
      <c r="E225">
        <v>5</v>
      </c>
      <c r="F225" t="s">
        <v>13</v>
      </c>
      <c r="G225" t="s">
        <v>21</v>
      </c>
      <c r="H225" t="s">
        <v>15</v>
      </c>
      <c r="I225">
        <v>4</v>
      </c>
      <c r="J225" t="s">
        <v>47</v>
      </c>
      <c r="K225" t="s">
        <v>24</v>
      </c>
      <c r="L225">
        <v>39</v>
      </c>
      <c r="M225" t="str">
        <f t="shared" si="3"/>
        <v>Middle Age</v>
      </c>
      <c r="N225" t="s">
        <v>18</v>
      </c>
    </row>
    <row r="226" spans="1:14" x14ac:dyDescent="0.2">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
      <c r="A231">
        <v>28915</v>
      </c>
      <c r="B231" t="s">
        <v>37</v>
      </c>
      <c r="C231" t="s">
        <v>39</v>
      </c>
      <c r="D231" s="3">
        <v>80000</v>
      </c>
      <c r="E231">
        <v>5</v>
      </c>
      <c r="F231" t="s">
        <v>27</v>
      </c>
      <c r="G231" t="s">
        <v>28</v>
      </c>
      <c r="H231" t="s">
        <v>15</v>
      </c>
      <c r="I231">
        <v>3</v>
      </c>
      <c r="J231" t="s">
        <v>47</v>
      </c>
      <c r="K231" t="s">
        <v>17</v>
      </c>
      <c r="L231">
        <v>57</v>
      </c>
      <c r="M231" t="str">
        <f t="shared" si="3"/>
        <v>Old</v>
      </c>
      <c r="N231" t="s">
        <v>18</v>
      </c>
    </row>
    <row r="232" spans="1:14" x14ac:dyDescent="0.2">
      <c r="A232">
        <v>22830</v>
      </c>
      <c r="B232" t="s">
        <v>36</v>
      </c>
      <c r="C232" t="s">
        <v>39</v>
      </c>
      <c r="D232" s="3">
        <v>120000</v>
      </c>
      <c r="E232">
        <v>4</v>
      </c>
      <c r="F232" t="s">
        <v>19</v>
      </c>
      <c r="G232" t="s">
        <v>28</v>
      </c>
      <c r="H232" t="s">
        <v>15</v>
      </c>
      <c r="I232">
        <v>3</v>
      </c>
      <c r="J232" t="s">
        <v>47</v>
      </c>
      <c r="K232" t="s">
        <v>17</v>
      </c>
      <c r="L232">
        <v>56</v>
      </c>
      <c r="M232" t="str">
        <f t="shared" si="3"/>
        <v>Old</v>
      </c>
      <c r="N232" t="s">
        <v>18</v>
      </c>
    </row>
    <row r="233" spans="1:14" x14ac:dyDescent="0.2">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
      <c r="A236">
        <v>24611</v>
      </c>
      <c r="B236" t="s">
        <v>37</v>
      </c>
      <c r="C236" t="s">
        <v>39</v>
      </c>
      <c r="D236" s="3">
        <v>90000</v>
      </c>
      <c r="E236">
        <v>0</v>
      </c>
      <c r="F236" t="s">
        <v>13</v>
      </c>
      <c r="G236" t="s">
        <v>21</v>
      </c>
      <c r="H236" t="s">
        <v>18</v>
      </c>
      <c r="I236">
        <v>4</v>
      </c>
      <c r="J236" t="s">
        <v>47</v>
      </c>
      <c r="K236" t="s">
        <v>24</v>
      </c>
      <c r="L236">
        <v>35</v>
      </c>
      <c r="M236" t="str">
        <f t="shared" si="3"/>
        <v>Middle Age</v>
      </c>
      <c r="N236" t="s">
        <v>15</v>
      </c>
    </row>
    <row r="237" spans="1:14" x14ac:dyDescent="0.2">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
      <c r="A246">
        <v>19057</v>
      </c>
      <c r="B246" t="s">
        <v>36</v>
      </c>
      <c r="C246" t="s">
        <v>38</v>
      </c>
      <c r="D246" s="3">
        <v>120000</v>
      </c>
      <c r="E246">
        <v>3</v>
      </c>
      <c r="F246" t="s">
        <v>13</v>
      </c>
      <c r="G246" t="s">
        <v>28</v>
      </c>
      <c r="H246" t="s">
        <v>18</v>
      </c>
      <c r="I246">
        <v>2</v>
      </c>
      <c r="J246" t="s">
        <v>47</v>
      </c>
      <c r="K246" t="s">
        <v>17</v>
      </c>
      <c r="L246">
        <v>52</v>
      </c>
      <c r="M246" t="str">
        <f t="shared" si="3"/>
        <v>Middle Age</v>
      </c>
      <c r="N246" t="s">
        <v>15</v>
      </c>
    </row>
    <row r="247" spans="1:14" x14ac:dyDescent="0.2">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
      <c r="A249">
        <v>21568</v>
      </c>
      <c r="B249" t="s">
        <v>36</v>
      </c>
      <c r="C249" t="s">
        <v>38</v>
      </c>
      <c r="D249" s="3">
        <v>100000</v>
      </c>
      <c r="E249">
        <v>0</v>
      </c>
      <c r="F249" t="s">
        <v>27</v>
      </c>
      <c r="G249" t="s">
        <v>28</v>
      </c>
      <c r="H249" t="s">
        <v>15</v>
      </c>
      <c r="I249">
        <v>4</v>
      </c>
      <c r="J249" t="s">
        <v>47</v>
      </c>
      <c r="K249" t="s">
        <v>24</v>
      </c>
      <c r="L249">
        <v>34</v>
      </c>
      <c r="M249" t="str">
        <f t="shared" si="3"/>
        <v>Middle Age</v>
      </c>
      <c r="N249" t="s">
        <v>15</v>
      </c>
    </row>
    <row r="250" spans="1:14" x14ac:dyDescent="0.2">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
      <c r="A255">
        <v>20598</v>
      </c>
      <c r="B255" t="s">
        <v>36</v>
      </c>
      <c r="C255" t="s">
        <v>39</v>
      </c>
      <c r="D255" s="3">
        <v>100000</v>
      </c>
      <c r="E255">
        <v>3</v>
      </c>
      <c r="F255" t="s">
        <v>29</v>
      </c>
      <c r="G255" t="s">
        <v>21</v>
      </c>
      <c r="H255" t="s">
        <v>15</v>
      </c>
      <c r="I255">
        <v>0</v>
      </c>
      <c r="J255" t="s">
        <v>47</v>
      </c>
      <c r="K255" t="s">
        <v>17</v>
      </c>
      <c r="L255">
        <v>59</v>
      </c>
      <c r="M255" t="str">
        <f t="shared" si="3"/>
        <v>Old</v>
      </c>
      <c r="N255" t="s">
        <v>15</v>
      </c>
    </row>
    <row r="256" spans="1:14" x14ac:dyDescent="0.2">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
      <c r="A260">
        <v>14193</v>
      </c>
      <c r="B260" t="s">
        <v>37</v>
      </c>
      <c r="C260" t="s">
        <v>38</v>
      </c>
      <c r="D260" s="3">
        <v>100000</v>
      </c>
      <c r="E260">
        <v>3</v>
      </c>
      <c r="F260" t="s">
        <v>19</v>
      </c>
      <c r="G260" t="s">
        <v>28</v>
      </c>
      <c r="H260" t="s">
        <v>15</v>
      </c>
      <c r="I260">
        <v>4</v>
      </c>
      <c r="J260" t="s">
        <v>47</v>
      </c>
      <c r="K260" t="s">
        <v>17</v>
      </c>
      <c r="L260">
        <v>56</v>
      </c>
      <c r="M260" t="str">
        <f t="shared" si="4"/>
        <v>Old</v>
      </c>
      <c r="N260" t="s">
        <v>18</v>
      </c>
    </row>
    <row r="261" spans="1:14" x14ac:dyDescent="0.2">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
      <c r="A265">
        <v>23419</v>
      </c>
      <c r="B265" t="s">
        <v>37</v>
      </c>
      <c r="C265" t="s">
        <v>38</v>
      </c>
      <c r="D265" s="3">
        <v>70000</v>
      </c>
      <c r="E265">
        <v>5</v>
      </c>
      <c r="F265" t="s">
        <v>13</v>
      </c>
      <c r="G265" t="s">
        <v>21</v>
      </c>
      <c r="H265" t="s">
        <v>15</v>
      </c>
      <c r="I265">
        <v>3</v>
      </c>
      <c r="J265" t="s">
        <v>47</v>
      </c>
      <c r="K265" t="s">
        <v>24</v>
      </c>
      <c r="L265">
        <v>39</v>
      </c>
      <c r="M265" t="str">
        <f t="shared" si="4"/>
        <v>Middle Age</v>
      </c>
      <c r="N265" t="s">
        <v>18</v>
      </c>
    </row>
    <row r="266" spans="1:14" x14ac:dyDescent="0.2">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
      <c r="A280">
        <v>20625</v>
      </c>
      <c r="B280" t="s">
        <v>36</v>
      </c>
      <c r="C280" t="s">
        <v>39</v>
      </c>
      <c r="D280" s="3">
        <v>100000</v>
      </c>
      <c r="E280">
        <v>0</v>
      </c>
      <c r="F280" t="s">
        <v>27</v>
      </c>
      <c r="G280" t="s">
        <v>28</v>
      </c>
      <c r="H280" t="s">
        <v>15</v>
      </c>
      <c r="I280">
        <v>3</v>
      </c>
      <c r="J280" t="s">
        <v>47</v>
      </c>
      <c r="K280" t="s">
        <v>24</v>
      </c>
      <c r="L280">
        <v>35</v>
      </c>
      <c r="M280" t="str">
        <f t="shared" si="4"/>
        <v>Middle Age</v>
      </c>
      <c r="N280" t="s">
        <v>15</v>
      </c>
    </row>
    <row r="281" spans="1:14" x14ac:dyDescent="0.2">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
      <c r="A297">
        <v>21557</v>
      </c>
      <c r="B297" t="s">
        <v>37</v>
      </c>
      <c r="C297" t="s">
        <v>38</v>
      </c>
      <c r="D297" s="3">
        <v>110000</v>
      </c>
      <c r="E297">
        <v>0</v>
      </c>
      <c r="F297" t="s">
        <v>19</v>
      </c>
      <c r="G297" t="s">
        <v>28</v>
      </c>
      <c r="H297" t="s">
        <v>15</v>
      </c>
      <c r="I297">
        <v>3</v>
      </c>
      <c r="J297" t="s">
        <v>47</v>
      </c>
      <c r="K297" t="s">
        <v>24</v>
      </c>
      <c r="L297">
        <v>32</v>
      </c>
      <c r="M297" t="str">
        <f t="shared" si="4"/>
        <v>Middle Age</v>
      </c>
      <c r="N297" t="s">
        <v>15</v>
      </c>
    </row>
    <row r="298" spans="1:14" x14ac:dyDescent="0.2">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
      <c r="A320">
        <v>19066</v>
      </c>
      <c r="B320" t="s">
        <v>36</v>
      </c>
      <c r="C320" t="s">
        <v>39</v>
      </c>
      <c r="D320" s="3">
        <v>130000</v>
      </c>
      <c r="E320">
        <v>4</v>
      </c>
      <c r="F320" t="s">
        <v>19</v>
      </c>
      <c r="G320" t="s">
        <v>21</v>
      </c>
      <c r="H320" t="s">
        <v>18</v>
      </c>
      <c r="I320">
        <v>3</v>
      </c>
      <c r="J320" t="s">
        <v>47</v>
      </c>
      <c r="K320" t="s">
        <v>17</v>
      </c>
      <c r="L320">
        <v>54</v>
      </c>
      <c r="M320" t="str">
        <f t="shared" si="4"/>
        <v>Middle Age</v>
      </c>
      <c r="N320" t="s">
        <v>18</v>
      </c>
    </row>
    <row r="321" spans="1:14" x14ac:dyDescent="0.2">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
      <c r="A331">
        <v>12663</v>
      </c>
      <c r="B331" t="s">
        <v>36</v>
      </c>
      <c r="C331" t="s">
        <v>38</v>
      </c>
      <c r="D331" s="3">
        <v>90000</v>
      </c>
      <c r="E331">
        <v>5</v>
      </c>
      <c r="F331" t="s">
        <v>29</v>
      </c>
      <c r="G331" t="s">
        <v>14</v>
      </c>
      <c r="H331" t="s">
        <v>15</v>
      </c>
      <c r="I331">
        <v>2</v>
      </c>
      <c r="J331" t="s">
        <v>47</v>
      </c>
      <c r="K331" t="s">
        <v>17</v>
      </c>
      <c r="L331">
        <v>59</v>
      </c>
      <c r="M331" t="str">
        <f t="shared" si="5"/>
        <v>Old</v>
      </c>
      <c r="N331" t="s">
        <v>18</v>
      </c>
    </row>
    <row r="332" spans="1:14" x14ac:dyDescent="0.2">
      <c r="A332">
        <v>24898</v>
      </c>
      <c r="B332" t="s">
        <v>37</v>
      </c>
      <c r="C332" t="s">
        <v>38</v>
      </c>
      <c r="D332" s="3">
        <v>80000</v>
      </c>
      <c r="E332">
        <v>0</v>
      </c>
      <c r="F332" t="s">
        <v>13</v>
      </c>
      <c r="G332" t="s">
        <v>21</v>
      </c>
      <c r="H332" t="s">
        <v>15</v>
      </c>
      <c r="I332">
        <v>3</v>
      </c>
      <c r="J332" t="s">
        <v>47</v>
      </c>
      <c r="K332" t="s">
        <v>24</v>
      </c>
      <c r="L332">
        <v>32</v>
      </c>
      <c r="M332" t="str">
        <f t="shared" si="5"/>
        <v>Middle Age</v>
      </c>
      <c r="N332" t="s">
        <v>18</v>
      </c>
    </row>
    <row r="333" spans="1:14" x14ac:dyDescent="0.2">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
      <c r="A357">
        <v>17238</v>
      </c>
      <c r="B357" t="s">
        <v>37</v>
      </c>
      <c r="C357" t="s">
        <v>39</v>
      </c>
      <c r="D357" s="3">
        <v>80000</v>
      </c>
      <c r="E357">
        <v>0</v>
      </c>
      <c r="F357" t="s">
        <v>13</v>
      </c>
      <c r="G357" t="s">
        <v>21</v>
      </c>
      <c r="H357" t="s">
        <v>15</v>
      </c>
      <c r="I357">
        <v>3</v>
      </c>
      <c r="J357" t="s">
        <v>47</v>
      </c>
      <c r="K357" t="s">
        <v>24</v>
      </c>
      <c r="L357">
        <v>32</v>
      </c>
      <c r="M357" t="str">
        <f t="shared" si="5"/>
        <v>Middle Age</v>
      </c>
      <c r="N357" t="s">
        <v>18</v>
      </c>
    </row>
    <row r="358" spans="1:14" x14ac:dyDescent="0.2">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
      <c r="A361">
        <v>17230</v>
      </c>
      <c r="B361" t="s">
        <v>36</v>
      </c>
      <c r="C361" t="s">
        <v>39</v>
      </c>
      <c r="D361" s="3">
        <v>80000</v>
      </c>
      <c r="E361">
        <v>0</v>
      </c>
      <c r="F361" t="s">
        <v>13</v>
      </c>
      <c r="G361" t="s">
        <v>21</v>
      </c>
      <c r="H361" t="s">
        <v>15</v>
      </c>
      <c r="I361">
        <v>3</v>
      </c>
      <c r="J361" t="s">
        <v>47</v>
      </c>
      <c r="K361" t="s">
        <v>24</v>
      </c>
      <c r="L361">
        <v>30</v>
      </c>
      <c r="M361" t="str">
        <f t="shared" si="5"/>
        <v>Adolescent</v>
      </c>
      <c r="N361" t="s">
        <v>18</v>
      </c>
    </row>
    <row r="362" spans="1:14" x14ac:dyDescent="0.2">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
      <c r="A372">
        <v>17324</v>
      </c>
      <c r="B372" t="s">
        <v>36</v>
      </c>
      <c r="C372" t="s">
        <v>38</v>
      </c>
      <c r="D372" s="3">
        <v>100000</v>
      </c>
      <c r="E372">
        <v>4</v>
      </c>
      <c r="F372" t="s">
        <v>13</v>
      </c>
      <c r="G372" t="s">
        <v>21</v>
      </c>
      <c r="H372" t="s">
        <v>15</v>
      </c>
      <c r="I372">
        <v>1</v>
      </c>
      <c r="J372" t="s">
        <v>47</v>
      </c>
      <c r="K372" t="s">
        <v>24</v>
      </c>
      <c r="L372">
        <v>46</v>
      </c>
      <c r="M372" t="str">
        <f t="shared" si="5"/>
        <v>Middle Age</v>
      </c>
      <c r="N372" t="s">
        <v>18</v>
      </c>
    </row>
    <row r="373" spans="1:14" x14ac:dyDescent="0.2">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
      <c r="A382">
        <v>13620</v>
      </c>
      <c r="B382" t="s">
        <v>37</v>
      </c>
      <c r="C382" t="s">
        <v>39</v>
      </c>
      <c r="D382" s="3">
        <v>70000</v>
      </c>
      <c r="E382">
        <v>0</v>
      </c>
      <c r="F382" t="s">
        <v>13</v>
      </c>
      <c r="G382" t="s">
        <v>21</v>
      </c>
      <c r="H382" t="s">
        <v>18</v>
      </c>
      <c r="I382">
        <v>3</v>
      </c>
      <c r="J382" t="s">
        <v>47</v>
      </c>
      <c r="K382" t="s">
        <v>24</v>
      </c>
      <c r="L382">
        <v>30</v>
      </c>
      <c r="M382" t="str">
        <f t="shared" si="5"/>
        <v>Adolescent</v>
      </c>
      <c r="N382" t="s">
        <v>15</v>
      </c>
    </row>
    <row r="383" spans="1:14" x14ac:dyDescent="0.2">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
      <c r="A384">
        <v>13586</v>
      </c>
      <c r="B384" t="s">
        <v>36</v>
      </c>
      <c r="C384" t="s">
        <v>39</v>
      </c>
      <c r="D384" s="3">
        <v>80000</v>
      </c>
      <c r="E384">
        <v>4</v>
      </c>
      <c r="F384" t="s">
        <v>19</v>
      </c>
      <c r="G384" t="s">
        <v>21</v>
      </c>
      <c r="H384" t="s">
        <v>15</v>
      </c>
      <c r="I384">
        <v>2</v>
      </c>
      <c r="J384" t="s">
        <v>47</v>
      </c>
      <c r="K384" t="s">
        <v>17</v>
      </c>
      <c r="L384">
        <v>53</v>
      </c>
      <c r="M384" t="str">
        <f t="shared" si="5"/>
        <v>Middle Age</v>
      </c>
      <c r="N384" t="s">
        <v>18</v>
      </c>
    </row>
    <row r="385" spans="1:14" x14ac:dyDescent="0.2">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
      <c r="A388">
        <v>28957</v>
      </c>
      <c r="B388" t="s">
        <v>37</v>
      </c>
      <c r="C388" t="s">
        <v>38</v>
      </c>
      <c r="D388" s="3">
        <v>120000</v>
      </c>
      <c r="E388">
        <v>0</v>
      </c>
      <c r="F388" t="s">
        <v>29</v>
      </c>
      <c r="G388" t="s">
        <v>21</v>
      </c>
      <c r="H388" t="s">
        <v>15</v>
      </c>
      <c r="I388">
        <v>4</v>
      </c>
      <c r="J388" t="s">
        <v>47</v>
      </c>
      <c r="K388" t="s">
        <v>24</v>
      </c>
      <c r="L388">
        <v>34</v>
      </c>
      <c r="M388" t="str">
        <f t="shared" si="6"/>
        <v>Middle Age</v>
      </c>
      <c r="N388" t="s">
        <v>15</v>
      </c>
    </row>
    <row r="389" spans="1:14" x14ac:dyDescent="0.2">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
      <c r="A402">
        <v>25792</v>
      </c>
      <c r="B402" t="s">
        <v>37</v>
      </c>
      <c r="C402" t="s">
        <v>38</v>
      </c>
      <c r="D402" s="3">
        <v>110000</v>
      </c>
      <c r="E402">
        <v>3</v>
      </c>
      <c r="F402" t="s">
        <v>13</v>
      </c>
      <c r="G402" t="s">
        <v>28</v>
      </c>
      <c r="H402" t="s">
        <v>15</v>
      </c>
      <c r="I402">
        <v>4</v>
      </c>
      <c r="J402" t="s">
        <v>47</v>
      </c>
      <c r="K402" t="s">
        <v>17</v>
      </c>
      <c r="L402">
        <v>53</v>
      </c>
      <c r="M402" t="str">
        <f t="shared" si="6"/>
        <v>Middle Age</v>
      </c>
      <c r="N402" t="s">
        <v>18</v>
      </c>
    </row>
    <row r="403" spans="1:14" x14ac:dyDescent="0.2">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
      <c r="A422">
        <v>18153</v>
      </c>
      <c r="B422" t="s">
        <v>36</v>
      </c>
      <c r="C422" t="s">
        <v>38</v>
      </c>
      <c r="D422" s="3">
        <v>100000</v>
      </c>
      <c r="E422">
        <v>2</v>
      </c>
      <c r="F422" t="s">
        <v>13</v>
      </c>
      <c r="G422" t="s">
        <v>28</v>
      </c>
      <c r="H422" t="s">
        <v>15</v>
      </c>
      <c r="I422">
        <v>4</v>
      </c>
      <c r="J422" t="s">
        <v>47</v>
      </c>
      <c r="K422" t="s">
        <v>17</v>
      </c>
      <c r="L422">
        <v>59</v>
      </c>
      <c r="M422" t="str">
        <f t="shared" si="6"/>
        <v>Old</v>
      </c>
      <c r="N422" t="s">
        <v>18</v>
      </c>
    </row>
    <row r="423" spans="1:14" x14ac:dyDescent="0.2">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
      <c r="A424">
        <v>24901</v>
      </c>
      <c r="B424" t="s">
        <v>37</v>
      </c>
      <c r="C424" t="s">
        <v>39</v>
      </c>
      <c r="D424" s="3">
        <v>110000</v>
      </c>
      <c r="E424">
        <v>0</v>
      </c>
      <c r="F424" t="s">
        <v>19</v>
      </c>
      <c r="G424" t="s">
        <v>28</v>
      </c>
      <c r="H424" t="s">
        <v>18</v>
      </c>
      <c r="I424">
        <v>3</v>
      </c>
      <c r="J424" t="s">
        <v>47</v>
      </c>
      <c r="K424" t="s">
        <v>24</v>
      </c>
      <c r="L424">
        <v>32</v>
      </c>
      <c r="M424" t="str">
        <f t="shared" si="6"/>
        <v>Middle Age</v>
      </c>
      <c r="N424" t="s">
        <v>15</v>
      </c>
    </row>
    <row r="425" spans="1:14" x14ac:dyDescent="0.2">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
      <c r="A434">
        <v>21891</v>
      </c>
      <c r="B434" t="s">
        <v>36</v>
      </c>
      <c r="C434" t="s">
        <v>38</v>
      </c>
      <c r="D434" s="3">
        <v>110000</v>
      </c>
      <c r="E434">
        <v>0</v>
      </c>
      <c r="F434" t="s">
        <v>27</v>
      </c>
      <c r="G434" t="s">
        <v>28</v>
      </c>
      <c r="H434" t="s">
        <v>15</v>
      </c>
      <c r="I434">
        <v>3</v>
      </c>
      <c r="J434" t="s">
        <v>47</v>
      </c>
      <c r="K434" t="s">
        <v>24</v>
      </c>
      <c r="L434">
        <v>34</v>
      </c>
      <c r="M434" t="str">
        <f t="shared" si="6"/>
        <v>Middle Age</v>
      </c>
      <c r="N434" t="s">
        <v>15</v>
      </c>
    </row>
    <row r="435" spans="1:14" x14ac:dyDescent="0.2">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
      <c r="A442">
        <v>21561</v>
      </c>
      <c r="B442" t="s">
        <v>37</v>
      </c>
      <c r="C442" t="s">
        <v>39</v>
      </c>
      <c r="D442" s="3">
        <v>90000</v>
      </c>
      <c r="E442">
        <v>0</v>
      </c>
      <c r="F442" t="s">
        <v>13</v>
      </c>
      <c r="G442" t="s">
        <v>21</v>
      </c>
      <c r="H442" t="s">
        <v>18</v>
      </c>
      <c r="I442">
        <v>3</v>
      </c>
      <c r="J442" t="s">
        <v>47</v>
      </c>
      <c r="K442" t="s">
        <v>24</v>
      </c>
      <c r="L442">
        <v>34</v>
      </c>
      <c r="M442" t="str">
        <f t="shared" si="6"/>
        <v>Middle Age</v>
      </c>
      <c r="N442" t="s">
        <v>15</v>
      </c>
    </row>
    <row r="443" spans="1:14" x14ac:dyDescent="0.2">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
      <c r="A448">
        <v>14278</v>
      </c>
      <c r="B448" t="s">
        <v>36</v>
      </c>
      <c r="C448" t="s">
        <v>38</v>
      </c>
      <c r="D448" s="3">
        <v>130000</v>
      </c>
      <c r="E448">
        <v>0</v>
      </c>
      <c r="F448" t="s">
        <v>31</v>
      </c>
      <c r="G448" t="s">
        <v>28</v>
      </c>
      <c r="H448" t="s">
        <v>15</v>
      </c>
      <c r="I448">
        <v>1</v>
      </c>
      <c r="J448" t="s">
        <v>47</v>
      </c>
      <c r="K448" t="s">
        <v>24</v>
      </c>
      <c r="L448">
        <v>48</v>
      </c>
      <c r="M448" t="str">
        <f t="shared" si="6"/>
        <v>Middle Age</v>
      </c>
      <c r="N448" t="s">
        <v>18</v>
      </c>
    </row>
    <row r="449" spans="1:14" x14ac:dyDescent="0.2">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
      <c r="A460">
        <v>21560</v>
      </c>
      <c r="B460" t="s">
        <v>36</v>
      </c>
      <c r="C460" t="s">
        <v>39</v>
      </c>
      <c r="D460" s="3">
        <v>120000</v>
      </c>
      <c r="E460">
        <v>0</v>
      </c>
      <c r="F460" t="s">
        <v>29</v>
      </c>
      <c r="G460" t="s">
        <v>21</v>
      </c>
      <c r="H460" t="s">
        <v>15</v>
      </c>
      <c r="I460">
        <v>4</v>
      </c>
      <c r="J460" t="s">
        <v>47</v>
      </c>
      <c r="K460" t="s">
        <v>24</v>
      </c>
      <c r="L460">
        <v>32</v>
      </c>
      <c r="M460" t="str">
        <f t="shared" si="7"/>
        <v>Middle Age</v>
      </c>
      <c r="N460" t="s">
        <v>15</v>
      </c>
    </row>
    <row r="461" spans="1:14" x14ac:dyDescent="0.2">
      <c r="A461">
        <v>21554</v>
      </c>
      <c r="B461" t="s">
        <v>37</v>
      </c>
      <c r="C461" t="s">
        <v>38</v>
      </c>
      <c r="D461" s="3">
        <v>80000</v>
      </c>
      <c r="E461">
        <v>0</v>
      </c>
      <c r="F461" t="s">
        <v>13</v>
      </c>
      <c r="G461" t="s">
        <v>21</v>
      </c>
      <c r="H461" t="s">
        <v>18</v>
      </c>
      <c r="I461">
        <v>3</v>
      </c>
      <c r="J461" t="s">
        <v>47</v>
      </c>
      <c r="K461" t="s">
        <v>24</v>
      </c>
      <c r="L461">
        <v>33</v>
      </c>
      <c r="M461" t="str">
        <f t="shared" si="7"/>
        <v>Middle Age</v>
      </c>
      <c r="N461" t="s">
        <v>18</v>
      </c>
    </row>
    <row r="462" spans="1:14" x14ac:dyDescent="0.2">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
      <c r="A488">
        <v>26415</v>
      </c>
      <c r="B488" t="s">
        <v>36</v>
      </c>
      <c r="C488" t="s">
        <v>38</v>
      </c>
      <c r="D488" s="3">
        <v>90000</v>
      </c>
      <c r="E488">
        <v>4</v>
      </c>
      <c r="F488" t="s">
        <v>29</v>
      </c>
      <c r="G488" t="s">
        <v>14</v>
      </c>
      <c r="H488" t="s">
        <v>15</v>
      </c>
      <c r="I488">
        <v>4</v>
      </c>
      <c r="J488" t="s">
        <v>47</v>
      </c>
      <c r="K488" t="s">
        <v>17</v>
      </c>
      <c r="L488">
        <v>58</v>
      </c>
      <c r="M488" t="str">
        <f t="shared" si="7"/>
        <v>Old</v>
      </c>
      <c r="N488" t="s">
        <v>18</v>
      </c>
    </row>
    <row r="489" spans="1:14" x14ac:dyDescent="0.2">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
      <c r="A495">
        <v>23707</v>
      </c>
      <c r="B495" t="s">
        <v>37</v>
      </c>
      <c r="C495" t="s">
        <v>39</v>
      </c>
      <c r="D495" s="3">
        <v>70000</v>
      </c>
      <c r="E495">
        <v>5</v>
      </c>
      <c r="F495" t="s">
        <v>13</v>
      </c>
      <c r="G495" t="s">
        <v>28</v>
      </c>
      <c r="H495" t="s">
        <v>15</v>
      </c>
      <c r="I495">
        <v>3</v>
      </c>
      <c r="J495" t="s">
        <v>47</v>
      </c>
      <c r="K495" t="s">
        <v>32</v>
      </c>
      <c r="L495">
        <v>60</v>
      </c>
      <c r="M495" t="str">
        <f t="shared" si="7"/>
        <v>Old</v>
      </c>
      <c r="N495" t="s">
        <v>15</v>
      </c>
    </row>
    <row r="496" spans="1:14" x14ac:dyDescent="0.2">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
      <c r="A497">
        <v>24981</v>
      </c>
      <c r="B497" t="s">
        <v>36</v>
      </c>
      <c r="C497" t="s">
        <v>39</v>
      </c>
      <c r="D497" s="3">
        <v>60000</v>
      </c>
      <c r="E497">
        <v>2</v>
      </c>
      <c r="F497" t="s">
        <v>19</v>
      </c>
      <c r="G497" t="s">
        <v>21</v>
      </c>
      <c r="H497" t="s">
        <v>15</v>
      </c>
      <c r="I497">
        <v>2</v>
      </c>
      <c r="J497" t="s">
        <v>47</v>
      </c>
      <c r="K497" t="s">
        <v>32</v>
      </c>
      <c r="L497">
        <v>56</v>
      </c>
      <c r="M497" t="str">
        <f t="shared" si="7"/>
        <v>Old</v>
      </c>
      <c r="N497" t="s">
        <v>18</v>
      </c>
    </row>
    <row r="498" spans="1:14" x14ac:dyDescent="0.2">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
      <c r="A515">
        <v>13353</v>
      </c>
      <c r="B515" t="s">
        <v>37</v>
      </c>
      <c r="C515" t="s">
        <v>38</v>
      </c>
      <c r="D515" s="3">
        <v>60000</v>
      </c>
      <c r="E515">
        <v>4</v>
      </c>
      <c r="F515" t="s">
        <v>31</v>
      </c>
      <c r="G515" t="s">
        <v>28</v>
      </c>
      <c r="H515" t="s">
        <v>15</v>
      </c>
      <c r="I515">
        <v>2</v>
      </c>
      <c r="J515" t="s">
        <v>47</v>
      </c>
      <c r="K515" t="s">
        <v>32</v>
      </c>
      <c r="L515">
        <v>61</v>
      </c>
      <c r="M515" t="str">
        <f t="shared" ref="M515:M578" si="8">IF(L515&gt;54,"Old",IF(L515&gt;=31,"Middle Age",IF(L515&lt;31,"Adolescent","Invalid")))</f>
        <v>Old</v>
      </c>
      <c r="N515" t="s">
        <v>15</v>
      </c>
    </row>
    <row r="516" spans="1:14" x14ac:dyDescent="0.2">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
      <c r="A523">
        <v>18976</v>
      </c>
      <c r="B523" t="s">
        <v>37</v>
      </c>
      <c r="C523" t="s">
        <v>39</v>
      </c>
      <c r="D523" s="3">
        <v>40000</v>
      </c>
      <c r="E523">
        <v>4</v>
      </c>
      <c r="F523" t="s">
        <v>27</v>
      </c>
      <c r="G523" t="s">
        <v>21</v>
      </c>
      <c r="H523" t="s">
        <v>15</v>
      </c>
      <c r="I523">
        <v>2</v>
      </c>
      <c r="J523" t="s">
        <v>47</v>
      </c>
      <c r="K523" t="s">
        <v>32</v>
      </c>
      <c r="L523">
        <v>62</v>
      </c>
      <c r="M523" t="str">
        <f t="shared" si="8"/>
        <v>Old</v>
      </c>
      <c r="N523" t="s">
        <v>15</v>
      </c>
    </row>
    <row r="524" spans="1:14" x14ac:dyDescent="0.2">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
      <c r="A527">
        <v>16791</v>
      </c>
      <c r="B527" t="s">
        <v>37</v>
      </c>
      <c r="C527" t="s">
        <v>39</v>
      </c>
      <c r="D527" s="3">
        <v>60000</v>
      </c>
      <c r="E527">
        <v>5</v>
      </c>
      <c r="F527" t="s">
        <v>13</v>
      </c>
      <c r="G527" t="s">
        <v>28</v>
      </c>
      <c r="H527" t="s">
        <v>15</v>
      </c>
      <c r="I527">
        <v>3</v>
      </c>
      <c r="J527" t="s">
        <v>47</v>
      </c>
      <c r="K527" t="s">
        <v>32</v>
      </c>
      <c r="L527">
        <v>59</v>
      </c>
      <c r="M527" t="str">
        <f t="shared" si="8"/>
        <v>Old</v>
      </c>
      <c r="N527" t="s">
        <v>15</v>
      </c>
    </row>
    <row r="528" spans="1:14" x14ac:dyDescent="0.2">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
      <c r="A531">
        <v>13233</v>
      </c>
      <c r="B531" t="s">
        <v>36</v>
      </c>
      <c r="C531" t="s">
        <v>39</v>
      </c>
      <c r="D531" s="3">
        <v>60000</v>
      </c>
      <c r="E531">
        <v>2</v>
      </c>
      <c r="F531" t="s">
        <v>19</v>
      </c>
      <c r="G531" t="s">
        <v>21</v>
      </c>
      <c r="H531" t="s">
        <v>15</v>
      </c>
      <c r="I531">
        <v>1</v>
      </c>
      <c r="J531" t="s">
        <v>47</v>
      </c>
      <c r="K531" t="s">
        <v>32</v>
      </c>
      <c r="L531">
        <v>57</v>
      </c>
      <c r="M531" t="str">
        <f t="shared" si="8"/>
        <v>Old</v>
      </c>
      <c r="N531" t="s">
        <v>15</v>
      </c>
    </row>
    <row r="532" spans="1:14" x14ac:dyDescent="0.2">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
      <c r="A535">
        <v>24941</v>
      </c>
      <c r="B535" t="s">
        <v>36</v>
      </c>
      <c r="C535" t="s">
        <v>39</v>
      </c>
      <c r="D535" s="3">
        <v>60000</v>
      </c>
      <c r="E535">
        <v>3</v>
      </c>
      <c r="F535" t="s">
        <v>13</v>
      </c>
      <c r="G535" t="s">
        <v>28</v>
      </c>
      <c r="H535" t="s">
        <v>15</v>
      </c>
      <c r="I535">
        <v>2</v>
      </c>
      <c r="J535" t="s">
        <v>47</v>
      </c>
      <c r="K535" t="s">
        <v>32</v>
      </c>
      <c r="L535">
        <v>66</v>
      </c>
      <c r="M535" t="str">
        <f t="shared" si="8"/>
        <v>Old</v>
      </c>
      <c r="N535" t="s">
        <v>18</v>
      </c>
    </row>
    <row r="536" spans="1:14" x14ac:dyDescent="0.2">
      <c r="A536">
        <v>24637</v>
      </c>
      <c r="B536" t="s">
        <v>36</v>
      </c>
      <c r="C536" t="s">
        <v>39</v>
      </c>
      <c r="D536" s="3">
        <v>40000</v>
      </c>
      <c r="E536">
        <v>4</v>
      </c>
      <c r="F536" t="s">
        <v>27</v>
      </c>
      <c r="G536" t="s">
        <v>21</v>
      </c>
      <c r="H536" t="s">
        <v>15</v>
      </c>
      <c r="I536">
        <v>2</v>
      </c>
      <c r="J536" t="s">
        <v>47</v>
      </c>
      <c r="K536" t="s">
        <v>32</v>
      </c>
      <c r="L536">
        <v>64</v>
      </c>
      <c r="M536" t="str">
        <f t="shared" si="8"/>
        <v>Old</v>
      </c>
      <c r="N536" t="s">
        <v>18</v>
      </c>
    </row>
    <row r="537" spans="1:14" x14ac:dyDescent="0.2">
      <c r="A537">
        <v>23893</v>
      </c>
      <c r="B537" t="s">
        <v>36</v>
      </c>
      <c r="C537" t="s">
        <v>39</v>
      </c>
      <c r="D537" s="3">
        <v>50000</v>
      </c>
      <c r="E537">
        <v>3</v>
      </c>
      <c r="F537" t="s">
        <v>13</v>
      </c>
      <c r="G537" t="s">
        <v>14</v>
      </c>
      <c r="H537" t="s">
        <v>15</v>
      </c>
      <c r="I537">
        <v>3</v>
      </c>
      <c r="J537" t="s">
        <v>47</v>
      </c>
      <c r="K537" t="s">
        <v>32</v>
      </c>
      <c r="L537">
        <v>41</v>
      </c>
      <c r="M537" t="str">
        <f t="shared" si="8"/>
        <v>Middle Age</v>
      </c>
      <c r="N537" t="s">
        <v>18</v>
      </c>
    </row>
    <row r="538" spans="1:14" x14ac:dyDescent="0.2">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
      <c r="A553">
        <v>27393</v>
      </c>
      <c r="B553" t="s">
        <v>36</v>
      </c>
      <c r="C553" t="s">
        <v>38</v>
      </c>
      <c r="D553" s="3">
        <v>50000</v>
      </c>
      <c r="E553">
        <v>4</v>
      </c>
      <c r="F553" t="s">
        <v>13</v>
      </c>
      <c r="G553" t="s">
        <v>28</v>
      </c>
      <c r="H553" t="s">
        <v>15</v>
      </c>
      <c r="I553">
        <v>2</v>
      </c>
      <c r="J553" t="s">
        <v>47</v>
      </c>
      <c r="K553" t="s">
        <v>32</v>
      </c>
      <c r="L553">
        <v>63</v>
      </c>
      <c r="M553" t="str">
        <f t="shared" si="8"/>
        <v>Old</v>
      </c>
      <c r="N553" t="s">
        <v>18</v>
      </c>
    </row>
    <row r="554" spans="1:14" x14ac:dyDescent="0.2">
      <c r="A554">
        <v>14417</v>
      </c>
      <c r="B554" t="s">
        <v>37</v>
      </c>
      <c r="C554" t="s">
        <v>39</v>
      </c>
      <c r="D554" s="3">
        <v>60000</v>
      </c>
      <c r="E554">
        <v>3</v>
      </c>
      <c r="F554" t="s">
        <v>27</v>
      </c>
      <c r="G554" t="s">
        <v>21</v>
      </c>
      <c r="H554" t="s">
        <v>15</v>
      </c>
      <c r="I554">
        <v>2</v>
      </c>
      <c r="J554" t="s">
        <v>47</v>
      </c>
      <c r="K554" t="s">
        <v>32</v>
      </c>
      <c r="L554">
        <v>54</v>
      </c>
      <c r="M554" t="str">
        <f t="shared" si="8"/>
        <v>Middle Age</v>
      </c>
      <c r="N554" t="s">
        <v>15</v>
      </c>
    </row>
    <row r="555" spans="1:14" x14ac:dyDescent="0.2">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
      <c r="A561">
        <v>15895</v>
      </c>
      <c r="B561" t="s">
        <v>37</v>
      </c>
      <c r="C561" t="s">
        <v>38</v>
      </c>
      <c r="D561" s="3">
        <v>60000</v>
      </c>
      <c r="E561">
        <v>2</v>
      </c>
      <c r="F561" t="s">
        <v>13</v>
      </c>
      <c r="G561" t="s">
        <v>28</v>
      </c>
      <c r="H561" t="s">
        <v>15</v>
      </c>
      <c r="I561">
        <v>0</v>
      </c>
      <c r="J561" t="s">
        <v>47</v>
      </c>
      <c r="K561" t="s">
        <v>32</v>
      </c>
      <c r="L561">
        <v>58</v>
      </c>
      <c r="M561" t="str">
        <f t="shared" si="8"/>
        <v>Old</v>
      </c>
      <c r="N561" t="s">
        <v>18</v>
      </c>
    </row>
    <row r="562" spans="1:14" x14ac:dyDescent="0.2">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
      <c r="A571">
        <v>26452</v>
      </c>
      <c r="B571" t="s">
        <v>37</v>
      </c>
      <c r="C571" t="s">
        <v>39</v>
      </c>
      <c r="D571" s="3">
        <v>50000</v>
      </c>
      <c r="E571">
        <v>3</v>
      </c>
      <c r="F571" t="s">
        <v>31</v>
      </c>
      <c r="G571" t="s">
        <v>28</v>
      </c>
      <c r="H571" t="s">
        <v>15</v>
      </c>
      <c r="I571">
        <v>2</v>
      </c>
      <c r="J571" t="s">
        <v>47</v>
      </c>
      <c r="K571" t="s">
        <v>32</v>
      </c>
      <c r="L571">
        <v>69</v>
      </c>
      <c r="M571" t="str">
        <f t="shared" si="8"/>
        <v>Old</v>
      </c>
      <c r="N571" t="s">
        <v>18</v>
      </c>
    </row>
    <row r="572" spans="1:14" x14ac:dyDescent="0.2">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
      <c r="A577">
        <v>13388</v>
      </c>
      <c r="B577" t="s">
        <v>37</v>
      </c>
      <c r="C577" t="s">
        <v>39</v>
      </c>
      <c r="D577" s="3">
        <v>60000</v>
      </c>
      <c r="E577">
        <v>2</v>
      </c>
      <c r="F577" t="s">
        <v>19</v>
      </c>
      <c r="G577" t="s">
        <v>21</v>
      </c>
      <c r="H577" t="s">
        <v>15</v>
      </c>
      <c r="I577">
        <v>1</v>
      </c>
      <c r="J577" t="s">
        <v>47</v>
      </c>
      <c r="K577" t="s">
        <v>32</v>
      </c>
      <c r="L577">
        <v>56</v>
      </c>
      <c r="M577" t="str">
        <f t="shared" si="8"/>
        <v>Old</v>
      </c>
      <c r="N577" t="s">
        <v>18</v>
      </c>
    </row>
    <row r="578" spans="1:14" x14ac:dyDescent="0.2">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
      <c r="A582">
        <v>20380</v>
      </c>
      <c r="B582" t="s">
        <v>36</v>
      </c>
      <c r="C582" t="s">
        <v>38</v>
      </c>
      <c r="D582" s="3">
        <v>60000</v>
      </c>
      <c r="E582">
        <v>3</v>
      </c>
      <c r="F582" t="s">
        <v>31</v>
      </c>
      <c r="G582" t="s">
        <v>28</v>
      </c>
      <c r="H582" t="s">
        <v>15</v>
      </c>
      <c r="I582">
        <v>2</v>
      </c>
      <c r="J582" t="s">
        <v>47</v>
      </c>
      <c r="K582" t="s">
        <v>32</v>
      </c>
      <c r="L582">
        <v>69</v>
      </c>
      <c r="M582" t="str">
        <f t="shared" si="9"/>
        <v>Old</v>
      </c>
      <c r="N582" t="s">
        <v>18</v>
      </c>
    </row>
    <row r="583" spans="1:14" x14ac:dyDescent="0.2">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
      <c r="A585">
        <v>24943</v>
      </c>
      <c r="B585" t="s">
        <v>36</v>
      </c>
      <c r="C585" t="s">
        <v>39</v>
      </c>
      <c r="D585" s="3">
        <v>60000</v>
      </c>
      <c r="E585">
        <v>3</v>
      </c>
      <c r="F585" t="s">
        <v>13</v>
      </c>
      <c r="G585" t="s">
        <v>28</v>
      </c>
      <c r="H585" t="s">
        <v>15</v>
      </c>
      <c r="I585">
        <v>2</v>
      </c>
      <c r="J585" t="s">
        <v>47</v>
      </c>
      <c r="K585" t="s">
        <v>32</v>
      </c>
      <c r="L585">
        <v>66</v>
      </c>
      <c r="M585" t="str">
        <f t="shared" si="9"/>
        <v>Old</v>
      </c>
      <c r="N585" t="s">
        <v>18</v>
      </c>
    </row>
    <row r="586" spans="1:14" x14ac:dyDescent="0.2">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
      <c r="A590">
        <v>16871</v>
      </c>
      <c r="B590" t="s">
        <v>36</v>
      </c>
      <c r="C590" t="s">
        <v>38</v>
      </c>
      <c r="D590" s="3">
        <v>90000</v>
      </c>
      <c r="E590">
        <v>2</v>
      </c>
      <c r="F590" t="s">
        <v>27</v>
      </c>
      <c r="G590" t="s">
        <v>21</v>
      </c>
      <c r="H590" t="s">
        <v>15</v>
      </c>
      <c r="I590">
        <v>1</v>
      </c>
      <c r="J590" t="s">
        <v>47</v>
      </c>
      <c r="K590" t="s">
        <v>32</v>
      </c>
      <c r="L590">
        <v>51</v>
      </c>
      <c r="M590" t="str">
        <f t="shared" si="9"/>
        <v>Middle Age</v>
      </c>
      <c r="N590" t="s">
        <v>15</v>
      </c>
    </row>
    <row r="591" spans="1:14" x14ac:dyDescent="0.2">
      <c r="A591">
        <v>12100</v>
      </c>
      <c r="B591" t="s">
        <v>37</v>
      </c>
      <c r="C591" t="s">
        <v>39</v>
      </c>
      <c r="D591" s="3">
        <v>60000</v>
      </c>
      <c r="E591">
        <v>2</v>
      </c>
      <c r="F591" t="s">
        <v>13</v>
      </c>
      <c r="G591" t="s">
        <v>28</v>
      </c>
      <c r="H591" t="s">
        <v>15</v>
      </c>
      <c r="I591">
        <v>0</v>
      </c>
      <c r="J591" t="s">
        <v>47</v>
      </c>
      <c r="K591" t="s">
        <v>32</v>
      </c>
      <c r="L591">
        <v>57</v>
      </c>
      <c r="M591" t="str">
        <f t="shared" si="9"/>
        <v>Old</v>
      </c>
      <c r="N591" t="s">
        <v>18</v>
      </c>
    </row>
    <row r="592" spans="1:14" x14ac:dyDescent="0.2">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
      <c r="A593">
        <v>18545</v>
      </c>
      <c r="B593" t="s">
        <v>36</v>
      </c>
      <c r="C593" t="s">
        <v>39</v>
      </c>
      <c r="D593" s="3">
        <v>40000</v>
      </c>
      <c r="E593">
        <v>4</v>
      </c>
      <c r="F593" t="s">
        <v>27</v>
      </c>
      <c r="G593" t="s">
        <v>21</v>
      </c>
      <c r="H593" t="s">
        <v>18</v>
      </c>
      <c r="I593">
        <v>2</v>
      </c>
      <c r="J593" t="s">
        <v>47</v>
      </c>
      <c r="K593" t="s">
        <v>32</v>
      </c>
      <c r="L593">
        <v>61</v>
      </c>
      <c r="M593" t="str">
        <f t="shared" si="9"/>
        <v>Old</v>
      </c>
      <c r="N593" t="s">
        <v>15</v>
      </c>
    </row>
    <row r="594" spans="1:14" x14ac:dyDescent="0.2">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
      <c r="A609">
        <v>16145</v>
      </c>
      <c r="B609" t="s">
        <v>37</v>
      </c>
      <c r="C609" t="s">
        <v>38</v>
      </c>
      <c r="D609" s="3">
        <v>70000</v>
      </c>
      <c r="E609">
        <v>5</v>
      </c>
      <c r="F609" t="s">
        <v>31</v>
      </c>
      <c r="G609" t="s">
        <v>21</v>
      </c>
      <c r="H609" t="s">
        <v>15</v>
      </c>
      <c r="I609">
        <v>3</v>
      </c>
      <c r="J609" t="s">
        <v>47</v>
      </c>
      <c r="K609" t="s">
        <v>32</v>
      </c>
      <c r="L609">
        <v>46</v>
      </c>
      <c r="M609" t="str">
        <f t="shared" si="9"/>
        <v>Middle Age</v>
      </c>
      <c r="N609" t="s">
        <v>15</v>
      </c>
    </row>
    <row r="610" spans="1:14" x14ac:dyDescent="0.2">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
      <c r="A643">
        <v>21441</v>
      </c>
      <c r="B643" t="s">
        <v>36</v>
      </c>
      <c r="C643" t="s">
        <v>39</v>
      </c>
      <c r="D643" s="3">
        <v>50000</v>
      </c>
      <c r="E643">
        <v>4</v>
      </c>
      <c r="F643" t="s">
        <v>13</v>
      </c>
      <c r="G643" t="s">
        <v>28</v>
      </c>
      <c r="H643" t="s">
        <v>15</v>
      </c>
      <c r="I643">
        <v>2</v>
      </c>
      <c r="J643" t="s">
        <v>47</v>
      </c>
      <c r="K643" t="s">
        <v>32</v>
      </c>
      <c r="L643">
        <v>64</v>
      </c>
      <c r="M643" t="str">
        <f t="shared" ref="M643:M706" si="10">IF(L643&gt;54,"Old",IF(L643&gt;=31,"Middle Age",IF(L643&lt;31,"Adolescent","Invalid")))</f>
        <v>Old</v>
      </c>
      <c r="N643" t="s">
        <v>18</v>
      </c>
    </row>
    <row r="644" spans="1:14" x14ac:dyDescent="0.2">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
      <c r="A646">
        <v>23368</v>
      </c>
      <c r="B646" t="s">
        <v>36</v>
      </c>
      <c r="C646" t="s">
        <v>38</v>
      </c>
      <c r="D646" s="3">
        <v>60000</v>
      </c>
      <c r="E646">
        <v>5</v>
      </c>
      <c r="F646" t="s">
        <v>13</v>
      </c>
      <c r="G646" t="s">
        <v>14</v>
      </c>
      <c r="H646" t="s">
        <v>15</v>
      </c>
      <c r="I646">
        <v>3</v>
      </c>
      <c r="J646" t="s">
        <v>47</v>
      </c>
      <c r="K646" t="s">
        <v>32</v>
      </c>
      <c r="L646">
        <v>41</v>
      </c>
      <c r="M646" t="str">
        <f t="shared" si="10"/>
        <v>Middle Age</v>
      </c>
      <c r="N646" t="s">
        <v>18</v>
      </c>
    </row>
    <row r="647" spans="1:14" x14ac:dyDescent="0.2">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
      <c r="A652">
        <v>18435</v>
      </c>
      <c r="B652" t="s">
        <v>37</v>
      </c>
      <c r="C652" t="s">
        <v>38</v>
      </c>
      <c r="D652" s="3">
        <v>70000</v>
      </c>
      <c r="E652">
        <v>5</v>
      </c>
      <c r="F652" t="s">
        <v>31</v>
      </c>
      <c r="G652" t="s">
        <v>28</v>
      </c>
      <c r="H652" t="s">
        <v>15</v>
      </c>
      <c r="I652">
        <v>2</v>
      </c>
      <c r="J652" t="s">
        <v>47</v>
      </c>
      <c r="K652" t="s">
        <v>32</v>
      </c>
      <c r="L652">
        <v>67</v>
      </c>
      <c r="M652" t="str">
        <f t="shared" si="10"/>
        <v>Old</v>
      </c>
      <c r="N652" t="s">
        <v>15</v>
      </c>
    </row>
    <row r="653" spans="1:14" x14ac:dyDescent="0.2">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
      <c r="A661">
        <v>24643</v>
      </c>
      <c r="B661" t="s">
        <v>37</v>
      </c>
      <c r="C661" t="s">
        <v>38</v>
      </c>
      <c r="D661" s="3">
        <v>60000</v>
      </c>
      <c r="E661">
        <v>4</v>
      </c>
      <c r="F661" t="s">
        <v>13</v>
      </c>
      <c r="G661" t="s">
        <v>28</v>
      </c>
      <c r="H661" t="s">
        <v>15</v>
      </c>
      <c r="I661">
        <v>2</v>
      </c>
      <c r="J661" t="s">
        <v>47</v>
      </c>
      <c r="K661" t="s">
        <v>32</v>
      </c>
      <c r="L661">
        <v>63</v>
      </c>
      <c r="M661" t="str">
        <f t="shared" si="10"/>
        <v>Old</v>
      </c>
      <c r="N661" t="s">
        <v>18</v>
      </c>
    </row>
    <row r="662" spans="1:14" x14ac:dyDescent="0.2">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
      <c r="A669">
        <v>20505</v>
      </c>
      <c r="B669" t="s">
        <v>36</v>
      </c>
      <c r="C669" t="s">
        <v>38</v>
      </c>
      <c r="D669" s="3">
        <v>40000</v>
      </c>
      <c r="E669">
        <v>5</v>
      </c>
      <c r="F669" t="s">
        <v>27</v>
      </c>
      <c r="G669" t="s">
        <v>21</v>
      </c>
      <c r="H669" t="s">
        <v>18</v>
      </c>
      <c r="I669">
        <v>2</v>
      </c>
      <c r="J669" t="s">
        <v>47</v>
      </c>
      <c r="K669" t="s">
        <v>32</v>
      </c>
      <c r="L669">
        <v>61</v>
      </c>
      <c r="M669" t="str">
        <f t="shared" si="10"/>
        <v>Old</v>
      </c>
      <c r="N669" t="s">
        <v>18</v>
      </c>
    </row>
    <row r="670" spans="1:14" x14ac:dyDescent="0.2">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
      <c r="A672">
        <v>21471</v>
      </c>
      <c r="B672" t="s">
        <v>36</v>
      </c>
      <c r="C672" t="s">
        <v>39</v>
      </c>
      <c r="D672" s="3">
        <v>70000</v>
      </c>
      <c r="E672">
        <v>2</v>
      </c>
      <c r="F672" t="s">
        <v>19</v>
      </c>
      <c r="G672" t="s">
        <v>21</v>
      </c>
      <c r="H672" t="s">
        <v>15</v>
      </c>
      <c r="I672">
        <v>1</v>
      </c>
      <c r="J672" t="s">
        <v>47</v>
      </c>
      <c r="K672" t="s">
        <v>32</v>
      </c>
      <c r="L672">
        <v>59</v>
      </c>
      <c r="M672" t="str">
        <f t="shared" si="10"/>
        <v>Old</v>
      </c>
      <c r="N672" t="s">
        <v>18</v>
      </c>
    </row>
    <row r="673" spans="1:14" x14ac:dyDescent="0.2">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
      <c r="A681">
        <v>21770</v>
      </c>
      <c r="B681" t="s">
        <v>36</v>
      </c>
      <c r="C681" t="s">
        <v>39</v>
      </c>
      <c r="D681" s="3">
        <v>60000</v>
      </c>
      <c r="E681">
        <v>4</v>
      </c>
      <c r="F681" t="s">
        <v>13</v>
      </c>
      <c r="G681" t="s">
        <v>28</v>
      </c>
      <c r="H681" t="s">
        <v>15</v>
      </c>
      <c r="I681">
        <v>2</v>
      </c>
      <c r="J681" t="s">
        <v>47</v>
      </c>
      <c r="K681" t="s">
        <v>32</v>
      </c>
      <c r="L681">
        <v>60</v>
      </c>
      <c r="M681" t="str">
        <f t="shared" si="10"/>
        <v>Old</v>
      </c>
      <c r="N681" t="s">
        <v>18</v>
      </c>
    </row>
    <row r="682" spans="1:14" x14ac:dyDescent="0.2">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
      <c r="A707">
        <v>11199</v>
      </c>
      <c r="B707" t="s">
        <v>36</v>
      </c>
      <c r="C707" t="s">
        <v>38</v>
      </c>
      <c r="D707" s="3">
        <v>70000</v>
      </c>
      <c r="E707">
        <v>4</v>
      </c>
      <c r="F707" t="s">
        <v>13</v>
      </c>
      <c r="G707" t="s">
        <v>28</v>
      </c>
      <c r="H707" t="s">
        <v>15</v>
      </c>
      <c r="I707">
        <v>1</v>
      </c>
      <c r="J707" t="s">
        <v>47</v>
      </c>
      <c r="K707" t="s">
        <v>32</v>
      </c>
      <c r="L707">
        <v>59</v>
      </c>
      <c r="M707" t="str">
        <f t="shared" ref="M707:M770" si="11">IF(L707&gt;54,"Old",IF(L707&gt;=31,"Middle Age",IF(L707&lt;31,"Adolescent","Invalid")))</f>
        <v>Old</v>
      </c>
      <c r="N707" t="s">
        <v>18</v>
      </c>
    </row>
    <row r="708" spans="1:14" x14ac:dyDescent="0.2">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
      <c r="A710">
        <v>18069</v>
      </c>
      <c r="B710" t="s">
        <v>36</v>
      </c>
      <c r="C710" t="s">
        <v>39</v>
      </c>
      <c r="D710" s="3">
        <v>70000</v>
      </c>
      <c r="E710">
        <v>5</v>
      </c>
      <c r="F710" t="s">
        <v>13</v>
      </c>
      <c r="G710" t="s">
        <v>28</v>
      </c>
      <c r="H710" t="s">
        <v>15</v>
      </c>
      <c r="I710">
        <v>4</v>
      </c>
      <c r="J710" t="s">
        <v>47</v>
      </c>
      <c r="K710" t="s">
        <v>32</v>
      </c>
      <c r="L710">
        <v>60</v>
      </c>
      <c r="M710" t="str">
        <f t="shared" si="11"/>
        <v>Old</v>
      </c>
      <c r="N710" t="s">
        <v>18</v>
      </c>
    </row>
    <row r="711" spans="1:14" x14ac:dyDescent="0.2">
      <c r="A711">
        <v>23712</v>
      </c>
      <c r="B711" t="s">
        <v>37</v>
      </c>
      <c r="C711" t="s">
        <v>38</v>
      </c>
      <c r="D711" s="3">
        <v>70000</v>
      </c>
      <c r="E711">
        <v>2</v>
      </c>
      <c r="F711" t="s">
        <v>13</v>
      </c>
      <c r="G711" t="s">
        <v>28</v>
      </c>
      <c r="H711" t="s">
        <v>15</v>
      </c>
      <c r="I711">
        <v>1</v>
      </c>
      <c r="J711" t="s">
        <v>47</v>
      </c>
      <c r="K711" t="s">
        <v>32</v>
      </c>
      <c r="L711">
        <v>59</v>
      </c>
      <c r="M711" t="str">
        <f t="shared" si="11"/>
        <v>Old</v>
      </c>
      <c r="N711" t="s">
        <v>18</v>
      </c>
    </row>
    <row r="712" spans="1:14" x14ac:dyDescent="0.2">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
      <c r="A713">
        <v>20518</v>
      </c>
      <c r="B713" t="s">
        <v>36</v>
      </c>
      <c r="C713" t="s">
        <v>38</v>
      </c>
      <c r="D713" s="3">
        <v>70000</v>
      </c>
      <c r="E713">
        <v>2</v>
      </c>
      <c r="F713" t="s">
        <v>19</v>
      </c>
      <c r="G713" t="s">
        <v>21</v>
      </c>
      <c r="H713" t="s">
        <v>15</v>
      </c>
      <c r="I713">
        <v>1</v>
      </c>
      <c r="J713" t="s">
        <v>47</v>
      </c>
      <c r="K713" t="s">
        <v>32</v>
      </c>
      <c r="L713">
        <v>58</v>
      </c>
      <c r="M713" t="str">
        <f t="shared" si="11"/>
        <v>Old</v>
      </c>
      <c r="N713" t="s">
        <v>18</v>
      </c>
    </row>
    <row r="714" spans="1:14" x14ac:dyDescent="0.2">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
      <c r="A741">
        <v>11225</v>
      </c>
      <c r="B741" t="s">
        <v>36</v>
      </c>
      <c r="C741" t="s">
        <v>38</v>
      </c>
      <c r="D741" s="3">
        <v>60000</v>
      </c>
      <c r="E741">
        <v>2</v>
      </c>
      <c r="F741" t="s">
        <v>19</v>
      </c>
      <c r="G741" t="s">
        <v>21</v>
      </c>
      <c r="H741" t="s">
        <v>15</v>
      </c>
      <c r="I741">
        <v>1</v>
      </c>
      <c r="J741" t="s">
        <v>47</v>
      </c>
      <c r="K741" t="s">
        <v>32</v>
      </c>
      <c r="L741">
        <v>55</v>
      </c>
      <c r="M741" t="str">
        <f t="shared" si="11"/>
        <v>Old</v>
      </c>
      <c r="N741" t="s">
        <v>18</v>
      </c>
    </row>
    <row r="742" spans="1:14" x14ac:dyDescent="0.2">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
      <c r="A746">
        <v>20535</v>
      </c>
      <c r="B746" t="s">
        <v>36</v>
      </c>
      <c r="C746" t="s">
        <v>38</v>
      </c>
      <c r="D746" s="3">
        <v>70000</v>
      </c>
      <c r="E746">
        <v>4</v>
      </c>
      <c r="F746" t="s">
        <v>19</v>
      </c>
      <c r="G746" t="s">
        <v>21</v>
      </c>
      <c r="H746" t="s">
        <v>15</v>
      </c>
      <c r="I746">
        <v>1</v>
      </c>
      <c r="J746" t="s">
        <v>47</v>
      </c>
      <c r="K746" t="s">
        <v>32</v>
      </c>
      <c r="L746">
        <v>56</v>
      </c>
      <c r="M746" t="str">
        <f t="shared" si="11"/>
        <v>Old</v>
      </c>
      <c r="N746" t="s">
        <v>18</v>
      </c>
    </row>
    <row r="747" spans="1:14" x14ac:dyDescent="0.2">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
      <c r="A748">
        <v>28043</v>
      </c>
      <c r="B748" t="s">
        <v>36</v>
      </c>
      <c r="C748" t="s">
        <v>38</v>
      </c>
      <c r="D748" s="3">
        <v>60000</v>
      </c>
      <c r="E748">
        <v>2</v>
      </c>
      <c r="F748" t="s">
        <v>13</v>
      </c>
      <c r="G748" t="s">
        <v>28</v>
      </c>
      <c r="H748" t="s">
        <v>15</v>
      </c>
      <c r="I748">
        <v>0</v>
      </c>
      <c r="J748" t="s">
        <v>47</v>
      </c>
      <c r="K748" t="s">
        <v>32</v>
      </c>
      <c r="L748">
        <v>56</v>
      </c>
      <c r="M748" t="str">
        <f t="shared" si="11"/>
        <v>Old</v>
      </c>
      <c r="N748" t="s">
        <v>18</v>
      </c>
    </row>
    <row r="749" spans="1:14" x14ac:dyDescent="0.2">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
      <c r="A763">
        <v>13216</v>
      </c>
      <c r="B763" t="s">
        <v>36</v>
      </c>
      <c r="C763" t="s">
        <v>38</v>
      </c>
      <c r="D763" s="3">
        <v>60000</v>
      </c>
      <c r="E763">
        <v>5</v>
      </c>
      <c r="F763" t="s">
        <v>13</v>
      </c>
      <c r="G763" t="s">
        <v>28</v>
      </c>
      <c r="H763" t="s">
        <v>15</v>
      </c>
      <c r="I763">
        <v>3</v>
      </c>
      <c r="J763" t="s">
        <v>47</v>
      </c>
      <c r="K763" t="s">
        <v>32</v>
      </c>
      <c r="L763">
        <v>59</v>
      </c>
      <c r="M763" t="str">
        <f t="shared" si="11"/>
        <v>Old</v>
      </c>
      <c r="N763" t="s">
        <v>18</v>
      </c>
    </row>
    <row r="764" spans="1:14" x14ac:dyDescent="0.2">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
      <c r="A768">
        <v>14608</v>
      </c>
      <c r="B768" t="s">
        <v>36</v>
      </c>
      <c r="C768" t="s">
        <v>39</v>
      </c>
      <c r="D768" s="3">
        <v>50000</v>
      </c>
      <c r="E768">
        <v>4</v>
      </c>
      <c r="F768" t="s">
        <v>13</v>
      </c>
      <c r="G768" t="s">
        <v>14</v>
      </c>
      <c r="H768" t="s">
        <v>15</v>
      </c>
      <c r="I768">
        <v>3</v>
      </c>
      <c r="J768" t="s">
        <v>47</v>
      </c>
      <c r="K768" t="s">
        <v>32</v>
      </c>
      <c r="L768">
        <v>42</v>
      </c>
      <c r="M768" t="str">
        <f t="shared" si="11"/>
        <v>Middle Age</v>
      </c>
      <c r="N768" t="s">
        <v>18</v>
      </c>
    </row>
    <row r="769" spans="1:14" x14ac:dyDescent="0.2">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
      <c r="A777">
        <v>29030</v>
      </c>
      <c r="B777" t="s">
        <v>36</v>
      </c>
      <c r="C777" t="s">
        <v>39</v>
      </c>
      <c r="D777" s="3">
        <v>70000</v>
      </c>
      <c r="E777">
        <v>2</v>
      </c>
      <c r="F777" t="s">
        <v>29</v>
      </c>
      <c r="G777" t="s">
        <v>14</v>
      </c>
      <c r="H777" t="s">
        <v>15</v>
      </c>
      <c r="I777">
        <v>2</v>
      </c>
      <c r="J777" t="s">
        <v>47</v>
      </c>
      <c r="K777" t="s">
        <v>32</v>
      </c>
      <c r="L777">
        <v>54</v>
      </c>
      <c r="M777" t="str">
        <f t="shared" si="12"/>
        <v>Middle Age</v>
      </c>
      <c r="N777" t="s">
        <v>18</v>
      </c>
    </row>
    <row r="778" spans="1:14" x14ac:dyDescent="0.2">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
      <c r="A782">
        <v>18105</v>
      </c>
      <c r="B782" t="s">
        <v>36</v>
      </c>
      <c r="C782" t="s">
        <v>38</v>
      </c>
      <c r="D782" s="3">
        <v>60000</v>
      </c>
      <c r="E782">
        <v>2</v>
      </c>
      <c r="F782" t="s">
        <v>19</v>
      </c>
      <c r="G782" t="s">
        <v>21</v>
      </c>
      <c r="H782" t="s">
        <v>15</v>
      </c>
      <c r="I782">
        <v>1</v>
      </c>
      <c r="J782" t="s">
        <v>47</v>
      </c>
      <c r="K782" t="s">
        <v>32</v>
      </c>
      <c r="L782">
        <v>55</v>
      </c>
      <c r="M782" t="str">
        <f t="shared" si="12"/>
        <v>Old</v>
      </c>
      <c r="N782" t="s">
        <v>18</v>
      </c>
    </row>
    <row r="783" spans="1:14" x14ac:dyDescent="0.2">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
      <c r="A814">
        <v>15749</v>
      </c>
      <c r="B814" t="s">
        <v>37</v>
      </c>
      <c r="C814" t="s">
        <v>38</v>
      </c>
      <c r="D814" s="3">
        <v>70000</v>
      </c>
      <c r="E814">
        <v>4</v>
      </c>
      <c r="F814" t="s">
        <v>13</v>
      </c>
      <c r="G814" t="s">
        <v>28</v>
      </c>
      <c r="H814" t="s">
        <v>15</v>
      </c>
      <c r="I814">
        <v>2</v>
      </c>
      <c r="J814" t="s">
        <v>47</v>
      </c>
      <c r="K814" t="s">
        <v>32</v>
      </c>
      <c r="L814">
        <v>61</v>
      </c>
      <c r="M814" t="str">
        <f t="shared" si="12"/>
        <v>Old</v>
      </c>
      <c r="N814" t="s">
        <v>18</v>
      </c>
    </row>
    <row r="815" spans="1:14" x14ac:dyDescent="0.2">
      <c r="A815">
        <v>25899</v>
      </c>
      <c r="B815" t="s">
        <v>36</v>
      </c>
      <c r="C815" t="s">
        <v>38</v>
      </c>
      <c r="D815" s="3">
        <v>70000</v>
      </c>
      <c r="E815">
        <v>2</v>
      </c>
      <c r="F815" t="s">
        <v>27</v>
      </c>
      <c r="G815" t="s">
        <v>21</v>
      </c>
      <c r="H815" t="s">
        <v>15</v>
      </c>
      <c r="I815">
        <v>2</v>
      </c>
      <c r="J815" t="s">
        <v>47</v>
      </c>
      <c r="K815" t="s">
        <v>32</v>
      </c>
      <c r="L815">
        <v>53</v>
      </c>
      <c r="M815" t="str">
        <f t="shared" si="12"/>
        <v>Middle Age</v>
      </c>
      <c r="N815" t="s">
        <v>18</v>
      </c>
    </row>
    <row r="816" spans="1:14" x14ac:dyDescent="0.2">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
      <c r="A842">
        <v>11233</v>
      </c>
      <c r="B842" t="s">
        <v>36</v>
      </c>
      <c r="C842" t="s">
        <v>39</v>
      </c>
      <c r="D842" s="3">
        <v>70000</v>
      </c>
      <c r="E842">
        <v>4</v>
      </c>
      <c r="F842" t="s">
        <v>19</v>
      </c>
      <c r="G842" t="s">
        <v>21</v>
      </c>
      <c r="H842" t="s">
        <v>15</v>
      </c>
      <c r="I842">
        <v>2</v>
      </c>
      <c r="J842" t="s">
        <v>47</v>
      </c>
      <c r="K842" t="s">
        <v>32</v>
      </c>
      <c r="L842">
        <v>53</v>
      </c>
      <c r="M842" t="str">
        <f t="shared" si="13"/>
        <v>Middle Age</v>
      </c>
      <c r="N842" t="s">
        <v>18</v>
      </c>
    </row>
    <row r="843" spans="1:14" x14ac:dyDescent="0.2">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
      <c r="A846">
        <v>22743</v>
      </c>
      <c r="B846" t="s">
        <v>36</v>
      </c>
      <c r="C846" t="s">
        <v>38</v>
      </c>
      <c r="D846" s="3">
        <v>40000</v>
      </c>
      <c r="E846">
        <v>5</v>
      </c>
      <c r="F846" t="s">
        <v>27</v>
      </c>
      <c r="G846" t="s">
        <v>21</v>
      </c>
      <c r="H846" t="s">
        <v>15</v>
      </c>
      <c r="I846">
        <v>2</v>
      </c>
      <c r="J846" t="s">
        <v>47</v>
      </c>
      <c r="K846" t="s">
        <v>32</v>
      </c>
      <c r="L846">
        <v>60</v>
      </c>
      <c r="M846" t="str">
        <f t="shared" si="13"/>
        <v>Old</v>
      </c>
      <c r="N846" t="s">
        <v>18</v>
      </c>
    </row>
    <row r="847" spans="1:14" x14ac:dyDescent="0.2">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
      <c r="A868">
        <v>28052</v>
      </c>
      <c r="B868" t="s">
        <v>36</v>
      </c>
      <c r="C868" t="s">
        <v>39</v>
      </c>
      <c r="D868" s="3">
        <v>60000</v>
      </c>
      <c r="E868">
        <v>2</v>
      </c>
      <c r="F868" t="s">
        <v>27</v>
      </c>
      <c r="G868" t="s">
        <v>21</v>
      </c>
      <c r="H868" t="s">
        <v>15</v>
      </c>
      <c r="I868">
        <v>2</v>
      </c>
      <c r="J868" t="s">
        <v>47</v>
      </c>
      <c r="K868" t="s">
        <v>32</v>
      </c>
      <c r="L868">
        <v>55</v>
      </c>
      <c r="M868" t="str">
        <f t="shared" si="13"/>
        <v>Old</v>
      </c>
      <c r="N868" t="s">
        <v>18</v>
      </c>
    </row>
    <row r="869" spans="1:14" x14ac:dyDescent="0.2">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
      <c r="A870">
        <v>24955</v>
      </c>
      <c r="B870" t="s">
        <v>37</v>
      </c>
      <c r="C870" t="s">
        <v>39</v>
      </c>
      <c r="D870" s="3">
        <v>30000</v>
      </c>
      <c r="E870">
        <v>5</v>
      </c>
      <c r="F870" t="s">
        <v>29</v>
      </c>
      <c r="G870" t="s">
        <v>14</v>
      </c>
      <c r="H870" t="s">
        <v>15</v>
      </c>
      <c r="I870">
        <v>3</v>
      </c>
      <c r="J870" t="s">
        <v>47</v>
      </c>
      <c r="K870" t="s">
        <v>32</v>
      </c>
      <c r="L870">
        <v>60</v>
      </c>
      <c r="M870" t="str">
        <f t="shared" si="13"/>
        <v>Old</v>
      </c>
      <c r="N870" t="s">
        <v>15</v>
      </c>
    </row>
    <row r="871" spans="1:14" x14ac:dyDescent="0.2">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
      <c r="A873">
        <v>11219</v>
      </c>
      <c r="B873" t="s">
        <v>36</v>
      </c>
      <c r="C873" t="s">
        <v>39</v>
      </c>
      <c r="D873" s="3">
        <v>60000</v>
      </c>
      <c r="E873">
        <v>2</v>
      </c>
      <c r="F873" t="s">
        <v>27</v>
      </c>
      <c r="G873" t="s">
        <v>21</v>
      </c>
      <c r="H873" t="s">
        <v>15</v>
      </c>
      <c r="I873">
        <v>2</v>
      </c>
      <c r="J873" t="s">
        <v>47</v>
      </c>
      <c r="K873" t="s">
        <v>32</v>
      </c>
      <c r="L873">
        <v>55</v>
      </c>
      <c r="M873" t="str">
        <f t="shared" si="13"/>
        <v>Old</v>
      </c>
      <c r="N873" t="s">
        <v>18</v>
      </c>
    </row>
    <row r="874" spans="1:14" x14ac:dyDescent="0.2">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
      <c r="A900">
        <v>18066</v>
      </c>
      <c r="B900" t="s">
        <v>37</v>
      </c>
      <c r="C900" t="s">
        <v>39</v>
      </c>
      <c r="D900" s="3">
        <v>70000</v>
      </c>
      <c r="E900">
        <v>5</v>
      </c>
      <c r="F900" t="s">
        <v>13</v>
      </c>
      <c r="G900" t="s">
        <v>28</v>
      </c>
      <c r="H900" t="s">
        <v>15</v>
      </c>
      <c r="I900">
        <v>3</v>
      </c>
      <c r="J900" t="s">
        <v>47</v>
      </c>
      <c r="K900" t="s">
        <v>32</v>
      </c>
      <c r="L900">
        <v>60</v>
      </c>
      <c r="M900" t="str">
        <f t="shared" si="14"/>
        <v>Old</v>
      </c>
      <c r="N900" t="s">
        <v>15</v>
      </c>
    </row>
    <row r="901" spans="1:14" x14ac:dyDescent="0.2">
      <c r="A901">
        <v>28192</v>
      </c>
      <c r="B901" t="s">
        <v>36</v>
      </c>
      <c r="C901" t="s">
        <v>38</v>
      </c>
      <c r="D901" s="3">
        <v>70000</v>
      </c>
      <c r="E901">
        <v>5</v>
      </c>
      <c r="F901" t="s">
        <v>31</v>
      </c>
      <c r="G901" t="s">
        <v>21</v>
      </c>
      <c r="H901" t="s">
        <v>15</v>
      </c>
      <c r="I901">
        <v>3</v>
      </c>
      <c r="J901" t="s">
        <v>47</v>
      </c>
      <c r="K901" t="s">
        <v>32</v>
      </c>
      <c r="L901">
        <v>46</v>
      </c>
      <c r="M901" t="str">
        <f t="shared" si="14"/>
        <v>Middle Age</v>
      </c>
      <c r="N901" t="s">
        <v>18</v>
      </c>
    </row>
    <row r="902" spans="1:14" x14ac:dyDescent="0.2">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
      <c r="A909">
        <v>19747</v>
      </c>
      <c r="B909" t="s">
        <v>36</v>
      </c>
      <c r="C909" t="s">
        <v>39</v>
      </c>
      <c r="D909" s="3">
        <v>50000</v>
      </c>
      <c r="E909">
        <v>4</v>
      </c>
      <c r="F909" t="s">
        <v>13</v>
      </c>
      <c r="G909" t="s">
        <v>28</v>
      </c>
      <c r="H909" t="s">
        <v>15</v>
      </c>
      <c r="I909">
        <v>2</v>
      </c>
      <c r="J909" t="s">
        <v>47</v>
      </c>
      <c r="K909" t="s">
        <v>32</v>
      </c>
      <c r="L909">
        <v>63</v>
      </c>
      <c r="M909" t="str">
        <f t="shared" si="14"/>
        <v>Old</v>
      </c>
      <c r="N909" t="s">
        <v>18</v>
      </c>
    </row>
    <row r="910" spans="1:14" x14ac:dyDescent="0.2">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
      <c r="A917">
        <v>21752</v>
      </c>
      <c r="B917" t="s">
        <v>36</v>
      </c>
      <c r="C917" t="s">
        <v>39</v>
      </c>
      <c r="D917" s="3">
        <v>60000</v>
      </c>
      <c r="E917">
        <v>3</v>
      </c>
      <c r="F917" t="s">
        <v>31</v>
      </c>
      <c r="G917" t="s">
        <v>28</v>
      </c>
      <c r="H917" t="s">
        <v>15</v>
      </c>
      <c r="I917">
        <v>2</v>
      </c>
      <c r="J917" t="s">
        <v>47</v>
      </c>
      <c r="K917" t="s">
        <v>32</v>
      </c>
      <c r="L917">
        <v>64</v>
      </c>
      <c r="M917" t="str">
        <f t="shared" si="14"/>
        <v>Old</v>
      </c>
      <c r="N917" t="s">
        <v>18</v>
      </c>
    </row>
    <row r="918" spans="1:14" x14ac:dyDescent="0.2">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
      <c r="A921">
        <v>21451</v>
      </c>
      <c r="B921" t="s">
        <v>36</v>
      </c>
      <c r="C921" t="s">
        <v>38</v>
      </c>
      <c r="D921" s="3">
        <v>40000</v>
      </c>
      <c r="E921">
        <v>4</v>
      </c>
      <c r="F921" t="s">
        <v>27</v>
      </c>
      <c r="G921" t="s">
        <v>21</v>
      </c>
      <c r="H921" t="s">
        <v>15</v>
      </c>
      <c r="I921">
        <v>2</v>
      </c>
      <c r="J921" t="s">
        <v>47</v>
      </c>
      <c r="K921" t="s">
        <v>32</v>
      </c>
      <c r="L921">
        <v>61</v>
      </c>
      <c r="M921" t="str">
        <f t="shared" si="14"/>
        <v>Old</v>
      </c>
      <c r="N921" t="s">
        <v>18</v>
      </c>
    </row>
    <row r="922" spans="1:14" x14ac:dyDescent="0.2">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
      <c r="A928">
        <v>26495</v>
      </c>
      <c r="B928" t="s">
        <v>37</v>
      </c>
      <c r="C928" t="s">
        <v>38</v>
      </c>
      <c r="D928" s="3">
        <v>40000</v>
      </c>
      <c r="E928">
        <v>2</v>
      </c>
      <c r="F928" t="s">
        <v>27</v>
      </c>
      <c r="G928" t="s">
        <v>21</v>
      </c>
      <c r="H928" t="s">
        <v>15</v>
      </c>
      <c r="I928">
        <v>2</v>
      </c>
      <c r="J928" t="s">
        <v>47</v>
      </c>
      <c r="K928" t="s">
        <v>32</v>
      </c>
      <c r="L928">
        <v>57</v>
      </c>
      <c r="M928" t="str">
        <f t="shared" si="14"/>
        <v>Old</v>
      </c>
      <c r="N928" t="s">
        <v>18</v>
      </c>
    </row>
    <row r="929" spans="1:14" x14ac:dyDescent="0.2">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
      <c r="A932">
        <v>19543</v>
      </c>
      <c r="B932" t="s">
        <v>36</v>
      </c>
      <c r="C932" t="s">
        <v>39</v>
      </c>
      <c r="D932" s="3">
        <v>70000</v>
      </c>
      <c r="E932">
        <v>5</v>
      </c>
      <c r="F932" t="s">
        <v>31</v>
      </c>
      <c r="G932" t="s">
        <v>21</v>
      </c>
      <c r="H932" t="s">
        <v>18</v>
      </c>
      <c r="I932">
        <v>3</v>
      </c>
      <c r="J932" t="s">
        <v>47</v>
      </c>
      <c r="K932" t="s">
        <v>32</v>
      </c>
      <c r="L932">
        <v>47</v>
      </c>
      <c r="M932" t="str">
        <f t="shared" si="14"/>
        <v>Middle Age</v>
      </c>
      <c r="N932" t="s">
        <v>18</v>
      </c>
    </row>
    <row r="933" spans="1:14" x14ac:dyDescent="0.2">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
      <c r="A951">
        <v>28056</v>
      </c>
      <c r="B951" t="s">
        <v>36</v>
      </c>
      <c r="C951" t="s">
        <v>39</v>
      </c>
      <c r="D951" s="3">
        <v>70000</v>
      </c>
      <c r="E951">
        <v>2</v>
      </c>
      <c r="F951" t="s">
        <v>29</v>
      </c>
      <c r="G951" t="s">
        <v>14</v>
      </c>
      <c r="H951" t="s">
        <v>15</v>
      </c>
      <c r="I951">
        <v>2</v>
      </c>
      <c r="J951" t="s">
        <v>47</v>
      </c>
      <c r="K951" t="s">
        <v>32</v>
      </c>
      <c r="L951">
        <v>53</v>
      </c>
      <c r="M951" t="str">
        <f t="shared" si="14"/>
        <v>Middle Age</v>
      </c>
      <c r="N951" t="s">
        <v>18</v>
      </c>
    </row>
    <row r="952" spans="1:14" x14ac:dyDescent="0.2">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
      <c r="A964">
        <v>16813</v>
      </c>
      <c r="B964" t="s">
        <v>36</v>
      </c>
      <c r="C964" t="s">
        <v>39</v>
      </c>
      <c r="D964" s="3">
        <v>60000</v>
      </c>
      <c r="E964">
        <v>2</v>
      </c>
      <c r="F964" t="s">
        <v>19</v>
      </c>
      <c r="G964" t="s">
        <v>21</v>
      </c>
      <c r="H964" t="s">
        <v>15</v>
      </c>
      <c r="I964">
        <v>2</v>
      </c>
      <c r="J964" t="s">
        <v>47</v>
      </c>
      <c r="K964" t="s">
        <v>32</v>
      </c>
      <c r="L964">
        <v>55</v>
      </c>
      <c r="M964" t="str">
        <f t="shared" si="15"/>
        <v>Old</v>
      </c>
      <c r="N964" t="s">
        <v>18</v>
      </c>
    </row>
    <row r="965" spans="1:14" x14ac:dyDescent="0.2">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
      <c r="A966">
        <v>27434</v>
      </c>
      <c r="B966" t="s">
        <v>37</v>
      </c>
      <c r="C966" t="s">
        <v>39</v>
      </c>
      <c r="D966" s="3">
        <v>70000</v>
      </c>
      <c r="E966">
        <v>4</v>
      </c>
      <c r="F966" t="s">
        <v>19</v>
      </c>
      <c r="G966" t="s">
        <v>21</v>
      </c>
      <c r="H966" t="s">
        <v>15</v>
      </c>
      <c r="I966">
        <v>1</v>
      </c>
      <c r="J966" t="s">
        <v>47</v>
      </c>
      <c r="K966" t="s">
        <v>32</v>
      </c>
      <c r="L966">
        <v>56</v>
      </c>
      <c r="M966" t="str">
        <f t="shared" si="15"/>
        <v>Old</v>
      </c>
      <c r="N966" t="s">
        <v>18</v>
      </c>
    </row>
    <row r="967" spans="1:14" x14ac:dyDescent="0.2">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
      <c r="A978">
        <v>28004</v>
      </c>
      <c r="B978" t="s">
        <v>36</v>
      </c>
      <c r="C978" t="s">
        <v>38</v>
      </c>
      <c r="D978" s="3">
        <v>60000</v>
      </c>
      <c r="E978">
        <v>3</v>
      </c>
      <c r="F978" t="s">
        <v>13</v>
      </c>
      <c r="G978" t="s">
        <v>28</v>
      </c>
      <c r="H978" t="s">
        <v>15</v>
      </c>
      <c r="I978">
        <v>2</v>
      </c>
      <c r="J978" t="s">
        <v>47</v>
      </c>
      <c r="K978" t="s">
        <v>32</v>
      </c>
      <c r="L978">
        <v>66</v>
      </c>
      <c r="M978" t="str">
        <f t="shared" si="15"/>
        <v>Old</v>
      </c>
      <c r="N978" t="s">
        <v>18</v>
      </c>
    </row>
    <row r="979" spans="1:14" x14ac:dyDescent="0.2">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
      <c r="A982">
        <v>18594</v>
      </c>
      <c r="B982" t="s">
        <v>37</v>
      </c>
      <c r="C982" t="s">
        <v>38</v>
      </c>
      <c r="D982" s="3">
        <v>80000</v>
      </c>
      <c r="E982">
        <v>3</v>
      </c>
      <c r="F982" t="s">
        <v>13</v>
      </c>
      <c r="G982" t="s">
        <v>14</v>
      </c>
      <c r="H982" t="s">
        <v>15</v>
      </c>
      <c r="I982">
        <v>3</v>
      </c>
      <c r="J982" t="s">
        <v>47</v>
      </c>
      <c r="K982" t="s">
        <v>32</v>
      </c>
      <c r="L982">
        <v>40</v>
      </c>
      <c r="M982" t="str">
        <f t="shared" si="15"/>
        <v>Middle Age</v>
      </c>
      <c r="N982" t="s">
        <v>15</v>
      </c>
    </row>
    <row r="983" spans="1:14" x14ac:dyDescent="0.2">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
      <c r="A988">
        <v>23704</v>
      </c>
      <c r="B988" t="s">
        <v>37</v>
      </c>
      <c r="C988" t="s">
        <v>39</v>
      </c>
      <c r="D988" s="3">
        <v>40000</v>
      </c>
      <c r="E988">
        <v>5</v>
      </c>
      <c r="F988" t="s">
        <v>27</v>
      </c>
      <c r="G988" t="s">
        <v>21</v>
      </c>
      <c r="H988" t="s">
        <v>15</v>
      </c>
      <c r="I988">
        <v>4</v>
      </c>
      <c r="J988" t="s">
        <v>47</v>
      </c>
      <c r="K988" t="s">
        <v>32</v>
      </c>
      <c r="L988">
        <v>60</v>
      </c>
      <c r="M988" t="str">
        <f t="shared" si="15"/>
        <v>Old</v>
      </c>
      <c r="N988" t="s">
        <v>15</v>
      </c>
    </row>
    <row r="989" spans="1:14" x14ac:dyDescent="0.2">
      <c r="A989">
        <v>28972</v>
      </c>
      <c r="B989" t="s">
        <v>37</v>
      </c>
      <c r="C989" t="s">
        <v>38</v>
      </c>
      <c r="D989" s="3">
        <v>60000</v>
      </c>
      <c r="E989">
        <v>3</v>
      </c>
      <c r="F989" t="s">
        <v>31</v>
      </c>
      <c r="G989" t="s">
        <v>28</v>
      </c>
      <c r="H989" t="s">
        <v>15</v>
      </c>
      <c r="I989">
        <v>2</v>
      </c>
      <c r="J989" t="s">
        <v>47</v>
      </c>
      <c r="K989" t="s">
        <v>32</v>
      </c>
      <c r="L989">
        <v>66</v>
      </c>
      <c r="M989" t="str">
        <f t="shared" si="15"/>
        <v>Old</v>
      </c>
      <c r="N989" t="s">
        <v>18</v>
      </c>
    </row>
    <row r="990" spans="1:14" x14ac:dyDescent="0.2">
      <c r="A990">
        <v>22730</v>
      </c>
      <c r="B990" t="s">
        <v>36</v>
      </c>
      <c r="C990" t="s">
        <v>39</v>
      </c>
      <c r="D990" s="3">
        <v>70000</v>
      </c>
      <c r="E990">
        <v>5</v>
      </c>
      <c r="F990" t="s">
        <v>13</v>
      </c>
      <c r="G990" t="s">
        <v>28</v>
      </c>
      <c r="H990" t="s">
        <v>15</v>
      </c>
      <c r="I990">
        <v>2</v>
      </c>
      <c r="J990" t="s">
        <v>47</v>
      </c>
      <c r="K990" t="s">
        <v>32</v>
      </c>
      <c r="L990">
        <v>63</v>
      </c>
      <c r="M990" t="str">
        <f t="shared" si="15"/>
        <v>Old</v>
      </c>
      <c r="N990" t="s">
        <v>18</v>
      </c>
    </row>
    <row r="991" spans="1:14" x14ac:dyDescent="0.2">
      <c r="A991">
        <v>29134</v>
      </c>
      <c r="B991" t="s">
        <v>36</v>
      </c>
      <c r="C991" t="s">
        <v>39</v>
      </c>
      <c r="D991" s="3">
        <v>60000</v>
      </c>
      <c r="E991">
        <v>4</v>
      </c>
      <c r="F991" t="s">
        <v>13</v>
      </c>
      <c r="G991" t="s">
        <v>14</v>
      </c>
      <c r="H991" t="s">
        <v>18</v>
      </c>
      <c r="I991">
        <v>3</v>
      </c>
      <c r="J991" t="s">
        <v>47</v>
      </c>
      <c r="K991" t="s">
        <v>32</v>
      </c>
      <c r="L991">
        <v>42</v>
      </c>
      <c r="M991" t="str">
        <f t="shared" si="15"/>
        <v>Middle Age</v>
      </c>
      <c r="N991" t="s">
        <v>18</v>
      </c>
    </row>
    <row r="992" spans="1:14" x14ac:dyDescent="0.2">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
      <c r="A1001">
        <v>12121</v>
      </c>
      <c r="B1001" t="s">
        <v>37</v>
      </c>
      <c r="C1001" t="s">
        <v>39</v>
      </c>
      <c r="D1001" s="3">
        <v>60000</v>
      </c>
      <c r="E1001">
        <v>3</v>
      </c>
      <c r="F1001" t="s">
        <v>27</v>
      </c>
      <c r="G1001" t="s">
        <v>21</v>
      </c>
      <c r="H1001" t="s">
        <v>15</v>
      </c>
      <c r="I1001">
        <v>2</v>
      </c>
      <c r="J1001" t="s">
        <v>47</v>
      </c>
      <c r="K1001" t="s">
        <v>32</v>
      </c>
      <c r="L1001">
        <v>53</v>
      </c>
      <c r="M1001" t="str">
        <f t="shared" si="15"/>
        <v>Middle Age</v>
      </c>
      <c r="N1001" t="s">
        <v>15</v>
      </c>
    </row>
    <row r="1010" spans="13:13" x14ac:dyDescent="0.2">
      <c r="M1010" t="str">
        <f t="shared" ref="M1010" si="16">IF(L1010&lt;31,"Adolescent", "Invalid")</f>
        <v>Adolescent</v>
      </c>
    </row>
  </sheetData>
  <autoFilter ref="A1:N1001" xr:uid="{27AB5A7B-7E42-3448-A151-6ACA742BC25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8D58F-B723-154B-88EF-5EEF33D50C4E}">
  <dimension ref="A3:G78"/>
  <sheetViews>
    <sheetView topLeftCell="B38" zoomScale="50" zoomScaleNormal="59" workbookViewId="0">
      <selection activeCell="L36" sqref="L36"/>
    </sheetView>
  </sheetViews>
  <sheetFormatPr baseColWidth="10" defaultRowHeight="15" x14ac:dyDescent="0.2"/>
  <cols>
    <col min="1" max="1" width="15.1640625" bestFit="1" customWidth="1"/>
    <col min="2" max="2" width="17.83203125" bestFit="1" customWidth="1"/>
    <col min="3" max="3" width="20.83203125" bestFit="1" customWidth="1"/>
    <col min="4" max="4" width="10.83203125" bestFit="1" customWidth="1"/>
    <col min="5" max="5" width="20.83203125" bestFit="1" customWidth="1"/>
    <col min="6" max="6" width="15.1640625" bestFit="1" customWidth="1"/>
    <col min="7" max="7" width="25.5" bestFit="1" customWidth="1"/>
  </cols>
  <sheetData>
    <row r="3" spans="1:4" x14ac:dyDescent="0.2">
      <c r="A3" s="5" t="s">
        <v>44</v>
      </c>
      <c r="B3" s="5" t="s">
        <v>45</v>
      </c>
    </row>
    <row r="4" spans="1:4" x14ac:dyDescent="0.2">
      <c r="A4" s="5" t="s">
        <v>42</v>
      </c>
      <c r="B4" t="s">
        <v>18</v>
      </c>
      <c r="C4" t="s">
        <v>15</v>
      </c>
      <c r="D4" t="s">
        <v>43</v>
      </c>
    </row>
    <row r="5" spans="1:4" x14ac:dyDescent="0.2">
      <c r="A5" s="6" t="s">
        <v>38</v>
      </c>
      <c r="B5" s="4">
        <v>76153.846153846156</v>
      </c>
      <c r="C5" s="4">
        <v>70869.565217391311</v>
      </c>
      <c r="D5" s="4">
        <v>72777.777777777781</v>
      </c>
    </row>
    <row r="6" spans="1:4" x14ac:dyDescent="0.2">
      <c r="A6" s="6" t="s">
        <v>39</v>
      </c>
      <c r="B6" s="4">
        <v>82222.222222222219</v>
      </c>
      <c r="C6" s="4">
        <v>73333.333333333328</v>
      </c>
      <c r="D6" s="4">
        <v>75757.57575757576</v>
      </c>
    </row>
    <row r="7" spans="1:4" x14ac:dyDescent="0.2">
      <c r="A7" s="6" t="s">
        <v>43</v>
      </c>
      <c r="B7" s="4">
        <v>78636.363636363632</v>
      </c>
      <c r="C7" s="4">
        <v>72127.659574468082</v>
      </c>
      <c r="D7" s="4">
        <v>74202.89855072464</v>
      </c>
    </row>
    <row r="21" spans="1:4" x14ac:dyDescent="0.2">
      <c r="A21" s="5" t="s">
        <v>46</v>
      </c>
      <c r="B21" s="5" t="s">
        <v>45</v>
      </c>
    </row>
    <row r="22" spans="1:4" x14ac:dyDescent="0.2">
      <c r="A22" s="5" t="s">
        <v>42</v>
      </c>
      <c r="B22" t="s">
        <v>18</v>
      </c>
      <c r="C22" t="s">
        <v>15</v>
      </c>
      <c r="D22" t="s">
        <v>43</v>
      </c>
    </row>
    <row r="23" spans="1:4" x14ac:dyDescent="0.2">
      <c r="A23" s="6" t="s">
        <v>16</v>
      </c>
      <c r="B23" s="7">
        <v>8</v>
      </c>
      <c r="C23" s="7">
        <v>15</v>
      </c>
      <c r="D23" s="7">
        <v>23</v>
      </c>
    </row>
    <row r="24" spans="1:4" x14ac:dyDescent="0.2">
      <c r="A24" s="6" t="s">
        <v>26</v>
      </c>
      <c r="B24" s="7">
        <v>3</v>
      </c>
      <c r="C24" s="7">
        <v>4</v>
      </c>
      <c r="D24" s="7">
        <v>7</v>
      </c>
    </row>
    <row r="25" spans="1:4" x14ac:dyDescent="0.2">
      <c r="A25" s="6" t="s">
        <v>22</v>
      </c>
      <c r="B25" s="7">
        <v>5</v>
      </c>
      <c r="C25" s="7">
        <v>22</v>
      </c>
      <c r="D25" s="7">
        <v>27</v>
      </c>
    </row>
    <row r="26" spans="1:4" x14ac:dyDescent="0.2">
      <c r="A26" s="6" t="s">
        <v>23</v>
      </c>
      <c r="B26" s="7">
        <v>1</v>
      </c>
      <c r="C26" s="7">
        <v>2</v>
      </c>
      <c r="D26" s="7">
        <v>3</v>
      </c>
    </row>
    <row r="27" spans="1:4" x14ac:dyDescent="0.2">
      <c r="A27" s="6" t="s">
        <v>47</v>
      </c>
      <c r="B27" s="7">
        <v>5</v>
      </c>
      <c r="C27" s="7">
        <v>4</v>
      </c>
      <c r="D27" s="7">
        <v>9</v>
      </c>
    </row>
    <row r="28" spans="1:4" x14ac:dyDescent="0.2">
      <c r="A28" s="6" t="s">
        <v>43</v>
      </c>
      <c r="B28" s="7">
        <v>22</v>
      </c>
      <c r="C28" s="7">
        <v>47</v>
      </c>
      <c r="D28" s="7">
        <v>69</v>
      </c>
    </row>
    <row r="37" spans="1:4" x14ac:dyDescent="0.2">
      <c r="A37" s="5" t="s">
        <v>46</v>
      </c>
      <c r="B37" s="5" t="s">
        <v>45</v>
      </c>
    </row>
    <row r="38" spans="1:4" x14ac:dyDescent="0.2">
      <c r="A38" s="5" t="s">
        <v>42</v>
      </c>
      <c r="B38" t="s">
        <v>18</v>
      </c>
      <c r="C38" t="s">
        <v>15</v>
      </c>
      <c r="D38" t="s">
        <v>43</v>
      </c>
    </row>
    <row r="39" spans="1:4" x14ac:dyDescent="0.2">
      <c r="A39" s="6" t="s">
        <v>53</v>
      </c>
      <c r="B39" s="7">
        <v>1</v>
      </c>
      <c r="C39" s="7"/>
      <c r="D39" s="7">
        <v>1</v>
      </c>
    </row>
    <row r="40" spans="1:4" x14ac:dyDescent="0.2">
      <c r="A40" s="6" t="s">
        <v>48</v>
      </c>
      <c r="B40" s="7">
        <v>15</v>
      </c>
      <c r="C40" s="7">
        <v>39</v>
      </c>
      <c r="D40" s="7">
        <v>54</v>
      </c>
    </row>
    <row r="41" spans="1:4" x14ac:dyDescent="0.2">
      <c r="A41" s="6" t="s">
        <v>49</v>
      </c>
      <c r="B41" s="7">
        <v>6</v>
      </c>
      <c r="C41" s="7">
        <v>8</v>
      </c>
      <c r="D41" s="7">
        <v>14</v>
      </c>
    </row>
    <row r="42" spans="1:4" x14ac:dyDescent="0.2">
      <c r="A42" s="6" t="s">
        <v>43</v>
      </c>
      <c r="B42" s="7">
        <v>22</v>
      </c>
      <c r="C42" s="7">
        <v>47</v>
      </c>
      <c r="D42" s="7">
        <v>69</v>
      </c>
    </row>
    <row r="53" spans="1:7" x14ac:dyDescent="0.2">
      <c r="B53" s="5" t="s">
        <v>45</v>
      </c>
    </row>
    <row r="54" spans="1:7" x14ac:dyDescent="0.2">
      <c r="B54" t="s">
        <v>18</v>
      </c>
      <c r="D54" t="s">
        <v>15</v>
      </c>
      <c r="F54" t="s">
        <v>50</v>
      </c>
      <c r="G54" t="s">
        <v>51</v>
      </c>
    </row>
    <row r="55" spans="1:7" x14ac:dyDescent="0.2">
      <c r="A55" s="5" t="s">
        <v>42</v>
      </c>
      <c r="B55" t="s">
        <v>52</v>
      </c>
      <c r="C55" t="s">
        <v>46</v>
      </c>
      <c r="D55" t="s">
        <v>52</v>
      </c>
      <c r="E55" t="s">
        <v>46</v>
      </c>
    </row>
    <row r="56" spans="1:7" x14ac:dyDescent="0.2">
      <c r="A56" s="6">
        <v>30</v>
      </c>
      <c r="B56" s="7">
        <v>30</v>
      </c>
      <c r="C56" s="7">
        <v>1</v>
      </c>
      <c r="D56" s="7"/>
      <c r="E56" s="7"/>
      <c r="F56" s="7">
        <v>30</v>
      </c>
      <c r="G56" s="7">
        <v>1</v>
      </c>
    </row>
    <row r="57" spans="1:7" x14ac:dyDescent="0.2">
      <c r="A57" s="6">
        <v>34</v>
      </c>
      <c r="B57" s="7"/>
      <c r="C57" s="7"/>
      <c r="D57" s="7">
        <v>34</v>
      </c>
      <c r="E57" s="7">
        <v>1</v>
      </c>
      <c r="F57" s="7">
        <v>34</v>
      </c>
      <c r="G57" s="7">
        <v>1</v>
      </c>
    </row>
    <row r="58" spans="1:7" x14ac:dyDescent="0.2">
      <c r="A58" s="6">
        <v>36</v>
      </c>
      <c r="B58" s="7">
        <v>36</v>
      </c>
      <c r="C58" s="7">
        <v>1</v>
      </c>
      <c r="D58" s="7">
        <v>72</v>
      </c>
      <c r="E58" s="7">
        <v>2</v>
      </c>
      <c r="F58" s="7">
        <v>108</v>
      </c>
      <c r="G58" s="7">
        <v>3</v>
      </c>
    </row>
    <row r="59" spans="1:7" x14ac:dyDescent="0.2">
      <c r="A59" s="6">
        <v>37</v>
      </c>
      <c r="B59" s="7"/>
      <c r="C59" s="7"/>
      <c r="D59" s="7">
        <v>222</v>
      </c>
      <c r="E59" s="7">
        <v>6</v>
      </c>
      <c r="F59" s="7">
        <v>222</v>
      </c>
      <c r="G59" s="7">
        <v>6</v>
      </c>
    </row>
    <row r="60" spans="1:7" x14ac:dyDescent="0.2">
      <c r="A60" s="6">
        <v>38</v>
      </c>
      <c r="B60" s="7">
        <v>76</v>
      </c>
      <c r="C60" s="7">
        <v>2</v>
      </c>
      <c r="D60" s="7">
        <v>304</v>
      </c>
      <c r="E60" s="7">
        <v>8</v>
      </c>
      <c r="F60" s="7">
        <v>380</v>
      </c>
      <c r="G60" s="7">
        <v>10</v>
      </c>
    </row>
    <row r="61" spans="1:7" x14ac:dyDescent="0.2">
      <c r="A61" s="6">
        <v>39</v>
      </c>
      <c r="B61" s="7"/>
      <c r="C61" s="7"/>
      <c r="D61" s="7">
        <v>78</v>
      </c>
      <c r="E61" s="7">
        <v>2</v>
      </c>
      <c r="F61" s="7">
        <v>78</v>
      </c>
      <c r="G61" s="7">
        <v>2</v>
      </c>
    </row>
    <row r="62" spans="1:7" x14ac:dyDescent="0.2">
      <c r="A62" s="6">
        <v>40</v>
      </c>
      <c r="B62" s="7">
        <v>120</v>
      </c>
      <c r="C62" s="7">
        <v>3</v>
      </c>
      <c r="D62" s="7">
        <v>160</v>
      </c>
      <c r="E62" s="7">
        <v>4</v>
      </c>
      <c r="F62" s="7">
        <v>280</v>
      </c>
      <c r="G62" s="7">
        <v>7</v>
      </c>
    </row>
    <row r="63" spans="1:7" x14ac:dyDescent="0.2">
      <c r="A63" s="6">
        <v>41</v>
      </c>
      <c r="B63" s="7"/>
      <c r="C63" s="7"/>
      <c r="D63" s="7">
        <v>246</v>
      </c>
      <c r="E63" s="7">
        <v>6</v>
      </c>
      <c r="F63" s="7">
        <v>246</v>
      </c>
      <c r="G63" s="7">
        <v>6</v>
      </c>
    </row>
    <row r="64" spans="1:7" x14ac:dyDescent="0.2">
      <c r="A64" s="6">
        <v>42</v>
      </c>
      <c r="B64" s="7">
        <v>168</v>
      </c>
      <c r="C64" s="7">
        <v>4</v>
      </c>
      <c r="D64" s="7">
        <v>126</v>
      </c>
      <c r="E64" s="7">
        <v>3</v>
      </c>
      <c r="F64" s="7">
        <v>294</v>
      </c>
      <c r="G64" s="7">
        <v>7</v>
      </c>
    </row>
    <row r="65" spans="1:7" x14ac:dyDescent="0.2">
      <c r="A65" s="6">
        <v>43</v>
      </c>
      <c r="B65" s="7">
        <v>43</v>
      </c>
      <c r="C65" s="7">
        <v>1</v>
      </c>
      <c r="D65" s="7">
        <v>129</v>
      </c>
      <c r="E65" s="7">
        <v>3</v>
      </c>
      <c r="F65" s="7">
        <v>172</v>
      </c>
      <c r="G65" s="7">
        <v>4</v>
      </c>
    </row>
    <row r="66" spans="1:7" x14ac:dyDescent="0.2">
      <c r="A66" s="6">
        <v>44</v>
      </c>
      <c r="B66" s="7">
        <v>88</v>
      </c>
      <c r="C66" s="7">
        <v>2</v>
      </c>
      <c r="D66" s="7">
        <v>44</v>
      </c>
      <c r="E66" s="7">
        <v>1</v>
      </c>
      <c r="F66" s="7">
        <v>132</v>
      </c>
      <c r="G66" s="7">
        <v>3</v>
      </c>
    </row>
    <row r="67" spans="1:7" x14ac:dyDescent="0.2">
      <c r="A67" s="6">
        <v>45</v>
      </c>
      <c r="B67" s="7">
        <v>90</v>
      </c>
      <c r="C67" s="7">
        <v>2</v>
      </c>
      <c r="D67" s="7">
        <v>45</v>
      </c>
      <c r="E67" s="7">
        <v>1</v>
      </c>
      <c r="F67" s="7">
        <v>135</v>
      </c>
      <c r="G67" s="7">
        <v>3</v>
      </c>
    </row>
    <row r="68" spans="1:7" x14ac:dyDescent="0.2">
      <c r="A68" s="6">
        <v>47</v>
      </c>
      <c r="B68" s="7"/>
      <c r="C68" s="7"/>
      <c r="D68" s="7">
        <v>94</v>
      </c>
      <c r="E68" s="7">
        <v>2</v>
      </c>
      <c r="F68" s="7">
        <v>94</v>
      </c>
      <c r="G68" s="7">
        <v>2</v>
      </c>
    </row>
    <row r="69" spans="1:7" x14ac:dyDescent="0.2">
      <c r="A69" s="6">
        <v>57</v>
      </c>
      <c r="B69" s="7">
        <v>57</v>
      </c>
      <c r="C69" s="7">
        <v>1</v>
      </c>
      <c r="D69" s="7"/>
      <c r="E69" s="7"/>
      <c r="F69" s="7">
        <v>57</v>
      </c>
      <c r="G69" s="7">
        <v>1</v>
      </c>
    </row>
    <row r="70" spans="1:7" x14ac:dyDescent="0.2">
      <c r="A70" s="6">
        <v>58</v>
      </c>
      <c r="B70" s="7">
        <v>58</v>
      </c>
      <c r="C70" s="7">
        <v>1</v>
      </c>
      <c r="D70" s="7">
        <v>58</v>
      </c>
      <c r="E70" s="7">
        <v>1</v>
      </c>
      <c r="F70" s="7">
        <v>116</v>
      </c>
      <c r="G70" s="7">
        <v>2</v>
      </c>
    </row>
    <row r="71" spans="1:7" x14ac:dyDescent="0.2">
      <c r="A71" s="6">
        <v>59</v>
      </c>
      <c r="B71" s="7">
        <v>59</v>
      </c>
      <c r="C71" s="7">
        <v>1</v>
      </c>
      <c r="D71" s="7">
        <v>177</v>
      </c>
      <c r="E71" s="7">
        <v>3</v>
      </c>
      <c r="F71" s="7">
        <v>236</v>
      </c>
      <c r="G71" s="7">
        <v>4</v>
      </c>
    </row>
    <row r="72" spans="1:7" x14ac:dyDescent="0.2">
      <c r="A72" s="6">
        <v>60</v>
      </c>
      <c r="B72" s="7"/>
      <c r="C72" s="7"/>
      <c r="D72" s="7">
        <v>120</v>
      </c>
      <c r="E72" s="7">
        <v>2</v>
      </c>
      <c r="F72" s="7">
        <v>120</v>
      </c>
      <c r="G72" s="7">
        <v>2</v>
      </c>
    </row>
    <row r="73" spans="1:7" x14ac:dyDescent="0.2">
      <c r="A73" s="6">
        <v>61</v>
      </c>
      <c r="B73" s="7">
        <v>61</v>
      </c>
      <c r="C73" s="7">
        <v>1</v>
      </c>
      <c r="D73" s="7"/>
      <c r="E73" s="7"/>
      <c r="F73" s="7">
        <v>61</v>
      </c>
      <c r="G73" s="7">
        <v>1</v>
      </c>
    </row>
    <row r="74" spans="1:7" x14ac:dyDescent="0.2">
      <c r="A74" s="6">
        <v>62</v>
      </c>
      <c r="B74" s="7"/>
      <c r="C74" s="7"/>
      <c r="D74" s="7">
        <v>62</v>
      </c>
      <c r="E74" s="7">
        <v>1</v>
      </c>
      <c r="F74" s="7">
        <v>62</v>
      </c>
      <c r="G74" s="7">
        <v>1</v>
      </c>
    </row>
    <row r="75" spans="1:7" x14ac:dyDescent="0.2">
      <c r="A75" s="6">
        <v>63</v>
      </c>
      <c r="B75" s="7">
        <v>63</v>
      </c>
      <c r="C75" s="7">
        <v>1</v>
      </c>
      <c r="D75" s="7"/>
      <c r="E75" s="7"/>
      <c r="F75" s="7">
        <v>63</v>
      </c>
      <c r="G75" s="7">
        <v>1</v>
      </c>
    </row>
    <row r="76" spans="1:7" x14ac:dyDescent="0.2">
      <c r="A76" s="6">
        <v>66</v>
      </c>
      <c r="B76" s="7"/>
      <c r="C76" s="7"/>
      <c r="D76" s="7">
        <v>66</v>
      </c>
      <c r="E76" s="7">
        <v>1</v>
      </c>
      <c r="F76" s="7">
        <v>66</v>
      </c>
      <c r="G76" s="7">
        <v>1</v>
      </c>
    </row>
    <row r="77" spans="1:7" x14ac:dyDescent="0.2">
      <c r="A77" s="6">
        <v>67</v>
      </c>
      <c r="B77" s="7">
        <v>67</v>
      </c>
      <c r="C77" s="7">
        <v>1</v>
      </c>
      <c r="D77" s="7"/>
      <c r="E77" s="7"/>
      <c r="F77" s="7">
        <v>67</v>
      </c>
      <c r="G77" s="7">
        <v>1</v>
      </c>
    </row>
    <row r="78" spans="1:7" x14ac:dyDescent="0.2">
      <c r="A78" s="6" t="s">
        <v>43</v>
      </c>
      <c r="B78" s="7">
        <v>1016</v>
      </c>
      <c r="C78" s="7">
        <v>22</v>
      </c>
      <c r="D78" s="7">
        <v>2037</v>
      </c>
      <c r="E78" s="7">
        <v>47</v>
      </c>
      <c r="F78" s="7">
        <v>3053</v>
      </c>
      <c r="G78" s="7">
        <v>69</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34C26-7FCF-ED4C-947D-17BDCDA0A9A1}">
  <dimension ref="A1:O7"/>
  <sheetViews>
    <sheetView showGridLines="0" tabSelected="1" zoomScale="75" workbookViewId="0">
      <selection activeCell="R24" sqref="R24"/>
    </sheetView>
  </sheetViews>
  <sheetFormatPr baseColWidth="10" defaultRowHeight="15" x14ac:dyDescent="0.2"/>
  <sheetData>
    <row r="1" spans="1:15" ht="16" customHeight="1" thickBot="1" x14ac:dyDescent="0.25">
      <c r="A1" s="8" t="s">
        <v>54</v>
      </c>
      <c r="B1" s="8"/>
      <c r="C1" s="8"/>
      <c r="D1" s="8"/>
      <c r="E1" s="8"/>
      <c r="F1" s="8"/>
      <c r="G1" s="8"/>
      <c r="H1" s="8"/>
      <c r="I1" s="8"/>
      <c r="J1" s="8"/>
      <c r="K1" s="8"/>
      <c r="L1" s="8"/>
      <c r="M1" s="8"/>
      <c r="N1" s="8"/>
      <c r="O1" s="8"/>
    </row>
    <row r="2" spans="1:15" ht="17" customHeight="1" thickTop="1" thickBot="1" x14ac:dyDescent="0.25">
      <c r="A2" s="8"/>
      <c r="B2" s="8"/>
      <c r="C2" s="8"/>
      <c r="D2" s="8"/>
      <c r="E2" s="8"/>
      <c r="F2" s="8"/>
      <c r="G2" s="8"/>
      <c r="H2" s="8"/>
      <c r="I2" s="8"/>
      <c r="J2" s="8"/>
      <c r="K2" s="8"/>
      <c r="L2" s="8"/>
      <c r="M2" s="8"/>
      <c r="N2" s="8"/>
      <c r="O2" s="8"/>
    </row>
    <row r="3" spans="1:15" ht="17" customHeight="1" thickTop="1" thickBot="1" x14ac:dyDescent="0.25">
      <c r="A3" s="8"/>
      <c r="B3" s="8"/>
      <c r="C3" s="8"/>
      <c r="D3" s="8"/>
      <c r="E3" s="8"/>
      <c r="F3" s="8"/>
      <c r="G3" s="8"/>
      <c r="H3" s="8"/>
      <c r="I3" s="8"/>
      <c r="J3" s="8"/>
      <c r="K3" s="8"/>
      <c r="L3" s="8"/>
      <c r="M3" s="8"/>
      <c r="N3" s="8"/>
      <c r="O3" s="8"/>
    </row>
    <row r="4" spans="1:15" ht="17" customHeight="1" thickTop="1" thickBot="1" x14ac:dyDescent="0.25">
      <c r="A4" s="8"/>
      <c r="B4" s="8"/>
      <c r="C4" s="8"/>
      <c r="D4" s="8"/>
      <c r="E4" s="8"/>
      <c r="F4" s="8"/>
      <c r="G4" s="8"/>
      <c r="H4" s="8"/>
      <c r="I4" s="8"/>
      <c r="J4" s="8"/>
      <c r="K4" s="8"/>
      <c r="L4" s="8"/>
      <c r="M4" s="8"/>
      <c r="N4" s="8"/>
      <c r="O4" s="8"/>
    </row>
    <row r="5" spans="1:15" ht="17" customHeight="1" thickTop="1" thickBot="1" x14ac:dyDescent="0.25">
      <c r="A5" s="8"/>
      <c r="B5" s="8"/>
      <c r="C5" s="8"/>
      <c r="D5" s="8"/>
      <c r="E5" s="8"/>
      <c r="F5" s="8"/>
      <c r="G5" s="8"/>
      <c r="H5" s="8"/>
      <c r="I5" s="8"/>
      <c r="J5" s="8"/>
      <c r="K5" s="8"/>
      <c r="L5" s="8"/>
      <c r="M5" s="8"/>
      <c r="N5" s="8"/>
      <c r="O5" s="8"/>
    </row>
    <row r="6" spans="1:15" ht="17" customHeight="1" thickTop="1" thickBot="1" x14ac:dyDescent="0.25">
      <c r="A6" s="8"/>
      <c r="B6" s="8"/>
      <c r="C6" s="8"/>
      <c r="D6" s="8"/>
      <c r="E6" s="8"/>
      <c r="F6" s="8"/>
      <c r="G6" s="8"/>
      <c r="H6" s="8"/>
      <c r="I6" s="8"/>
      <c r="J6" s="8"/>
      <c r="K6" s="8"/>
      <c r="L6" s="8"/>
      <c r="M6" s="8"/>
      <c r="N6" s="8"/>
      <c r="O6" s="8"/>
    </row>
    <row r="7" spans="1:15" ht="16" thickTop="1" x14ac:dyDescent="0.2"/>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Namuundari Aphrodite</cp:lastModifiedBy>
  <dcterms:created xsi:type="dcterms:W3CDTF">2022-03-18T02:50:57Z</dcterms:created>
  <dcterms:modified xsi:type="dcterms:W3CDTF">2026-08-02T02:01:04Z</dcterms:modified>
</cp:coreProperties>
</file>